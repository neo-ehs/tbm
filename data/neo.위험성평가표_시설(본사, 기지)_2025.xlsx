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11. AI CREW\tbm 작성 사이트\"/>
    </mc:Choice>
  </mc:AlternateContent>
  <xr:revisionPtr revIDLastSave="0" documentId="13_ncr:1_{3C9E5866-903D-48D8-90BF-4A5DEF1D8C62}" xr6:coauthVersionLast="47" xr6:coauthVersionMax="47" xr10:uidLastSave="{00000000-0000-0000-0000-000000000000}"/>
  <bookViews>
    <workbookView xWindow="28680" yWindow="-120" windowWidth="29040" windowHeight="15720" tabRatio="809" xr2:uid="{00000000-000D-0000-FFFF-FFFF00000000}"/>
  </bookViews>
  <sheets>
    <sheet name="기계실, 보일러실" sheetId="3" r:id="rId1"/>
    <sheet name="집수정" sheetId="14" r:id="rId2"/>
    <sheet name="옥상점검" sheetId="33" r:id="rId3"/>
    <sheet name="주차장" sheetId="15" r:id="rId4"/>
    <sheet name="폐수처리장" sheetId="16" r:id="rId5"/>
    <sheet name="검수고, 주공장" sheetId="30" r:id="rId6"/>
    <sheet name="방재작업" sheetId="32" r:id="rId7"/>
    <sheet name="Sheet1" sheetId="34" r:id="rId8"/>
    <sheet name="데이터필드" sheetId="7" state="hidden" r:id="rId9"/>
  </sheets>
  <externalReferences>
    <externalReference r:id="rId10"/>
    <externalReference r:id="rId11"/>
    <externalReference r:id="rId12"/>
    <externalReference r:id="rId13"/>
    <externalReference r:id="rId14"/>
  </externalReferences>
  <definedNames>
    <definedName name="_xlnm.Print_Area" localSheetId="5">'검수고, 주공장'!$A$1:$W$18</definedName>
    <definedName name="_xlnm.Print_Area" localSheetId="0">'기계실, 보일러실'!$A$1:$W$19</definedName>
    <definedName name="_xlnm.Print_Area" localSheetId="6">방재작업!$A$1:$W$18</definedName>
    <definedName name="_xlnm.Print_Area" localSheetId="2">옥상점검!$A$1:$W$18</definedName>
    <definedName name="_xlnm.Print_Area" localSheetId="3">주차장!$A$1:$W$18</definedName>
    <definedName name="_xlnm.Print_Area" localSheetId="1">집수정!$A$1:$W$18</definedName>
    <definedName name="_xlnm.Print_Area" localSheetId="4">폐수처리장!$A$1:$W$18</definedName>
    <definedName name="_xlnm.Print_Titles" localSheetId="5">'검수고, 주공장'!$6:$8</definedName>
    <definedName name="_xlnm.Print_Titles" localSheetId="0">'기계실, 보일러실'!$6:$8</definedName>
    <definedName name="_xlnm.Print_Titles" localSheetId="6">방재작업!$6:$8</definedName>
    <definedName name="_xlnm.Print_Titles" localSheetId="2">옥상점검!$6:$8</definedName>
    <definedName name="_xlnm.Print_Titles" localSheetId="3">주차장!$6:$8</definedName>
    <definedName name="_xlnm.Print_Titles" localSheetId="1">집수정!$6:$8</definedName>
    <definedName name="_xlnm.Print_Titles" localSheetId="4">폐수처리장!$6:$8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9" i="32" l="1"/>
  <c r="Q10" i="30"/>
  <c r="Q9" i="30"/>
  <c r="Q10" i="16"/>
  <c r="Q9" i="16"/>
  <c r="Q9" i="15"/>
  <c r="Q9" i="33"/>
  <c r="Q11" i="14"/>
  <c r="Q10" i="14"/>
  <c r="Q9" i="14"/>
  <c r="Q10" i="3"/>
  <c r="Q9" i="3"/>
  <c r="D4" i="34"/>
  <c r="K5" i="34"/>
  <c r="D6" i="34"/>
  <c r="D20" i="34"/>
  <c r="D11" i="34"/>
  <c r="D16" i="34"/>
  <c r="K11" i="34"/>
  <c r="K24" i="34"/>
  <c r="D9" i="34"/>
  <c r="D8" i="34"/>
  <c r="D15" i="34"/>
  <c r="D14" i="34"/>
  <c r="K14" i="34"/>
  <c r="K7" i="34"/>
  <c r="K6" i="34"/>
  <c r="D13" i="34"/>
  <c r="K9" i="34"/>
  <c r="K10" i="34"/>
  <c r="D10" i="34"/>
  <c r="D18" i="34"/>
  <c r="D17" i="34"/>
  <c r="K25" i="34"/>
  <c r="K4" i="34"/>
  <c r="K23" i="34"/>
  <c r="D7" i="34"/>
  <c r="D19" i="34"/>
  <c r="D5" i="34"/>
  <c r="K8" i="34"/>
  <c r="K13" i="34"/>
  <c r="K16" i="34"/>
  <c r="D12" i="34"/>
  <c r="K15" i="34"/>
  <c r="K12" i="34"/>
  <c r="D21" i="34" l="1"/>
  <c r="L4" i="34"/>
  <c r="L11" i="34"/>
  <c r="L14" i="34"/>
  <c r="L10" i="34"/>
  <c r="L15" i="34"/>
  <c r="L7" i="34"/>
  <c r="L17" i="3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6" authorId="0" shapeId="0" xr:uid="{00000000-0006-0000-0100-000001000000}">
      <text>
        <r>
          <rPr>
            <b/>
            <sz val="9"/>
            <color indexed="81"/>
            <rFont val="돋움"/>
            <family val="3"/>
            <charset val="129"/>
          </rPr>
          <t>재해유형별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분류
떨어짐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넘어짐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깔림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부딪힘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맞음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끼임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절단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베임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찔림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감전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폭발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화재
불균형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무리한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동작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이상온도·물체접촉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화학물질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누출·접촉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질식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산소결핍</t>
        </r>
        <r>
          <rPr>
            <b/>
            <sz val="9"/>
            <color indexed="81"/>
            <rFont val="Tahoma"/>
            <family val="2"/>
          </rPr>
          <t xml:space="preserve">), </t>
        </r>
        <r>
          <rPr>
            <b/>
            <sz val="9"/>
            <color indexed="81"/>
            <rFont val="돋움"/>
            <family val="3"/>
            <charset val="129"/>
          </rPr>
          <t>기타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
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구분하여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작성
</t>
        </r>
        <r>
          <rPr>
            <b/>
            <sz val="9"/>
            <color indexed="81"/>
            <rFont val="Tahoma"/>
            <family val="2"/>
          </rPr>
          <t xml:space="preserve">-&gt; </t>
        </r>
        <r>
          <rPr>
            <b/>
            <sz val="9"/>
            <color indexed="81"/>
            <rFont val="돋움"/>
            <family val="3"/>
            <charset val="129"/>
          </rPr>
          <t>위험성평가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재해유형별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분류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참고</t>
        </r>
      </text>
    </comment>
    <comment ref="R6" authorId="0" shapeId="0" xr:uid="{00000000-0006-0000-0100-000002000000}">
      <text>
        <r>
          <rPr>
            <b/>
            <sz val="9"/>
            <color indexed="81"/>
            <rFont val="돋움"/>
            <family val="3"/>
            <charset val="129"/>
          </rPr>
          <t>위험성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수준</t>
        </r>
        <r>
          <rPr>
            <b/>
            <sz val="9"/>
            <color indexed="81"/>
            <rFont val="Tahoma"/>
            <family val="2"/>
          </rPr>
          <t xml:space="preserve"> 9 </t>
        </r>
        <r>
          <rPr>
            <b/>
            <sz val="9"/>
            <color indexed="81"/>
            <rFont val="돋움"/>
            <family val="3"/>
            <charset val="129"/>
          </rPr>
          <t>이상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
작성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별도의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감소대책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실행계획서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작성</t>
        </r>
      </text>
    </comment>
    <comment ref="D7" authorId="0" shapeId="0" xr:uid="{00000000-0006-0000-0100-000003000000}">
      <text>
        <r>
          <rPr>
            <b/>
            <sz val="12"/>
            <color indexed="81"/>
            <rFont val="돋움"/>
            <family val="3"/>
            <charset val="129"/>
          </rPr>
          <t>고소작업
전기작업
중량물취급작업
소음작업
협소한 공간 작업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6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재해유형별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분류
떨어짐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넘어짐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깔림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부딪힘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맞음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끼임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절단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베임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찔림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감전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폭발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화재
불균형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무리한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동작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이상온도·물체접촉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화학물질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누출·접촉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질식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산소결핍</t>
        </r>
        <r>
          <rPr>
            <b/>
            <sz val="9"/>
            <color indexed="81"/>
            <rFont val="Tahoma"/>
            <family val="2"/>
          </rPr>
          <t xml:space="preserve">), </t>
        </r>
        <r>
          <rPr>
            <b/>
            <sz val="9"/>
            <color indexed="81"/>
            <rFont val="돋움"/>
            <family val="3"/>
            <charset val="129"/>
          </rPr>
          <t>기타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
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구분하여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작성
</t>
        </r>
        <r>
          <rPr>
            <b/>
            <sz val="9"/>
            <color indexed="81"/>
            <rFont val="Tahoma"/>
            <family val="2"/>
          </rPr>
          <t xml:space="preserve">-&gt; </t>
        </r>
        <r>
          <rPr>
            <b/>
            <sz val="9"/>
            <color indexed="81"/>
            <rFont val="돋움"/>
            <family val="3"/>
            <charset val="129"/>
          </rPr>
          <t>위험성평가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재해유형별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분류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참고</t>
        </r>
      </text>
    </comment>
    <comment ref="R6" authorId="0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위험성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수준</t>
        </r>
        <r>
          <rPr>
            <b/>
            <sz val="9"/>
            <color indexed="81"/>
            <rFont val="Tahoma"/>
            <family val="2"/>
          </rPr>
          <t xml:space="preserve"> 9 </t>
        </r>
        <r>
          <rPr>
            <b/>
            <sz val="9"/>
            <color indexed="81"/>
            <rFont val="돋움"/>
            <family val="3"/>
            <charset val="129"/>
          </rPr>
          <t>이상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
작성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별도의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감소대책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실행계획서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작성</t>
        </r>
      </text>
    </comment>
    <comment ref="D7" authorId="0" shapeId="0" xr:uid="{00000000-0006-0000-0200-000003000000}">
      <text>
        <r>
          <rPr>
            <b/>
            <sz val="12"/>
            <color indexed="81"/>
            <rFont val="돋움"/>
            <family val="3"/>
            <charset val="129"/>
          </rPr>
          <t>고소작업
전기작업
중량물취급작업
소음작업
협소한 공간 작업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6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재해유형별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분류
떨어짐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넘어짐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깔림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부딪힘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맞음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끼임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절단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베임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찔림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감전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폭발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화재
불균형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무리한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동작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이상온도·물체접촉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화학물질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누출·접촉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질식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산소결핍</t>
        </r>
        <r>
          <rPr>
            <b/>
            <sz val="9"/>
            <color indexed="81"/>
            <rFont val="Tahoma"/>
            <family val="2"/>
          </rPr>
          <t xml:space="preserve">), </t>
        </r>
        <r>
          <rPr>
            <b/>
            <sz val="9"/>
            <color indexed="81"/>
            <rFont val="돋움"/>
            <family val="3"/>
            <charset val="129"/>
          </rPr>
          <t>기타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
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구분하여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작성
</t>
        </r>
        <r>
          <rPr>
            <b/>
            <sz val="9"/>
            <color indexed="81"/>
            <rFont val="Tahoma"/>
            <family val="2"/>
          </rPr>
          <t xml:space="preserve">-&gt; </t>
        </r>
        <r>
          <rPr>
            <b/>
            <sz val="9"/>
            <color indexed="81"/>
            <rFont val="돋움"/>
            <family val="3"/>
            <charset val="129"/>
          </rPr>
          <t>위험성평가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재해유형별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분류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참고</t>
        </r>
      </text>
    </comment>
    <comment ref="R6" authorId="0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위험성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수준</t>
        </r>
        <r>
          <rPr>
            <b/>
            <sz val="9"/>
            <color indexed="81"/>
            <rFont val="Tahoma"/>
            <family val="2"/>
          </rPr>
          <t xml:space="preserve"> 9 </t>
        </r>
        <r>
          <rPr>
            <b/>
            <sz val="9"/>
            <color indexed="81"/>
            <rFont val="돋움"/>
            <family val="3"/>
            <charset val="129"/>
          </rPr>
          <t>이상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
작성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별도의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감소대책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실행계획서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작성</t>
        </r>
      </text>
    </comment>
    <comment ref="D7" authorId="0" shapeId="0" xr:uid="{00000000-0006-0000-0300-000003000000}">
      <text>
        <r>
          <rPr>
            <b/>
            <sz val="12"/>
            <color indexed="81"/>
            <rFont val="돋움"/>
            <family val="3"/>
            <charset val="129"/>
          </rPr>
          <t>고소작업
전기작업
중량물취급작업
소음작업
협소한 공간 작업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6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재해유형별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분류
떨어짐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넘어짐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깔림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부딪힘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맞음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끼임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절단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베임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찔림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감전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폭발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화재
불균형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무리한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동작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이상온도·물체접촉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화학물질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누출·접촉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질식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산소결핍</t>
        </r>
        <r>
          <rPr>
            <b/>
            <sz val="9"/>
            <color indexed="81"/>
            <rFont val="Tahoma"/>
            <family val="2"/>
          </rPr>
          <t xml:space="preserve">), </t>
        </r>
        <r>
          <rPr>
            <b/>
            <sz val="9"/>
            <color indexed="81"/>
            <rFont val="돋움"/>
            <family val="3"/>
            <charset val="129"/>
          </rPr>
          <t>기타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
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구분하여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작성
</t>
        </r>
        <r>
          <rPr>
            <b/>
            <sz val="9"/>
            <color indexed="81"/>
            <rFont val="Tahoma"/>
            <family val="2"/>
          </rPr>
          <t xml:space="preserve">-&gt; </t>
        </r>
        <r>
          <rPr>
            <b/>
            <sz val="9"/>
            <color indexed="81"/>
            <rFont val="돋움"/>
            <family val="3"/>
            <charset val="129"/>
          </rPr>
          <t>위험성평가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재해유형별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분류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참고</t>
        </r>
      </text>
    </comment>
    <comment ref="R6" authorId="0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위험성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수준</t>
        </r>
        <r>
          <rPr>
            <b/>
            <sz val="9"/>
            <color indexed="81"/>
            <rFont val="Tahoma"/>
            <family val="2"/>
          </rPr>
          <t xml:space="preserve"> 9 </t>
        </r>
        <r>
          <rPr>
            <b/>
            <sz val="9"/>
            <color indexed="81"/>
            <rFont val="돋움"/>
            <family val="3"/>
            <charset val="129"/>
          </rPr>
          <t>이상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
작성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별도의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감소대책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실행계획서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작성</t>
        </r>
      </text>
    </comment>
    <comment ref="D7" authorId="0" shapeId="0" xr:uid="{00000000-0006-0000-0400-000003000000}">
      <text>
        <r>
          <rPr>
            <b/>
            <sz val="12"/>
            <color indexed="81"/>
            <rFont val="돋움"/>
            <family val="3"/>
            <charset val="129"/>
          </rPr>
          <t>고소작업
전기작업
중량물취급작업
소음작업
협소한 공간 작업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6" authorId="0" shapeId="0" xr:uid="{00000000-0006-0000-0500-000001000000}">
      <text>
        <r>
          <rPr>
            <b/>
            <sz val="9"/>
            <color indexed="81"/>
            <rFont val="돋움"/>
            <family val="3"/>
            <charset val="129"/>
          </rPr>
          <t>재해유형별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분류
떨어짐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넘어짐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깔림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부딪힘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맞음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끼임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절단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베임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찔림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감전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폭발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화재
불균형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무리한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동작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이상온도·물체접촉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화학물질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누출·접촉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질식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산소결핍</t>
        </r>
        <r>
          <rPr>
            <b/>
            <sz val="9"/>
            <color indexed="81"/>
            <rFont val="Tahoma"/>
            <family val="2"/>
          </rPr>
          <t xml:space="preserve">), </t>
        </r>
        <r>
          <rPr>
            <b/>
            <sz val="9"/>
            <color indexed="81"/>
            <rFont val="돋움"/>
            <family val="3"/>
            <charset val="129"/>
          </rPr>
          <t>기타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
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구분하여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작성
</t>
        </r>
        <r>
          <rPr>
            <b/>
            <sz val="9"/>
            <color indexed="81"/>
            <rFont val="Tahoma"/>
            <family val="2"/>
          </rPr>
          <t xml:space="preserve">-&gt; </t>
        </r>
        <r>
          <rPr>
            <b/>
            <sz val="9"/>
            <color indexed="81"/>
            <rFont val="돋움"/>
            <family val="3"/>
            <charset val="129"/>
          </rPr>
          <t>위험성평가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재해유형별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분류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참고</t>
        </r>
      </text>
    </comment>
    <comment ref="R6" authorId="0" shapeId="0" xr:uid="{00000000-0006-0000-0500-000002000000}">
      <text>
        <r>
          <rPr>
            <b/>
            <sz val="9"/>
            <color indexed="81"/>
            <rFont val="돋움"/>
            <family val="3"/>
            <charset val="129"/>
          </rPr>
          <t>위험성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수준</t>
        </r>
        <r>
          <rPr>
            <b/>
            <sz val="9"/>
            <color indexed="81"/>
            <rFont val="Tahoma"/>
            <family val="2"/>
          </rPr>
          <t xml:space="preserve"> 9 </t>
        </r>
        <r>
          <rPr>
            <b/>
            <sz val="9"/>
            <color indexed="81"/>
            <rFont val="돋움"/>
            <family val="3"/>
            <charset val="129"/>
          </rPr>
          <t>이상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
작성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별도의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감소대책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실행계획서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작성</t>
        </r>
      </text>
    </comment>
    <comment ref="D7" authorId="0" shapeId="0" xr:uid="{00000000-0006-0000-0500-000003000000}">
      <text>
        <r>
          <rPr>
            <b/>
            <sz val="12"/>
            <color indexed="81"/>
            <rFont val="돋움"/>
            <family val="3"/>
            <charset val="129"/>
          </rPr>
          <t>고소작업
전기작업
중량물취급작업
소음작업
협소한 공간 작업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6" authorId="0" shapeId="0" xr:uid="{00000000-0006-0000-0600-000001000000}">
      <text>
        <r>
          <rPr>
            <b/>
            <sz val="9"/>
            <color indexed="81"/>
            <rFont val="돋움"/>
            <family val="3"/>
            <charset val="129"/>
          </rPr>
          <t>재해유형별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분류
떨어짐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넘어짐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깔림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부딪힘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맞음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끼임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절단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베임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찔림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감전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폭발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화재
불균형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무리한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동작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이상온도·물체접촉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화학물질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누출·접촉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질식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산소결핍</t>
        </r>
        <r>
          <rPr>
            <b/>
            <sz val="9"/>
            <color indexed="81"/>
            <rFont val="Tahoma"/>
            <family val="2"/>
          </rPr>
          <t xml:space="preserve">), </t>
        </r>
        <r>
          <rPr>
            <b/>
            <sz val="9"/>
            <color indexed="81"/>
            <rFont val="돋움"/>
            <family val="3"/>
            <charset val="129"/>
          </rPr>
          <t>기타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
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구분하여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작성
</t>
        </r>
        <r>
          <rPr>
            <b/>
            <sz val="9"/>
            <color indexed="81"/>
            <rFont val="Tahoma"/>
            <family val="2"/>
          </rPr>
          <t xml:space="preserve">-&gt; </t>
        </r>
        <r>
          <rPr>
            <b/>
            <sz val="9"/>
            <color indexed="81"/>
            <rFont val="돋움"/>
            <family val="3"/>
            <charset val="129"/>
          </rPr>
          <t>위험성평가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재해유형별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분류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참고</t>
        </r>
      </text>
    </comment>
    <comment ref="R6" authorId="0" shapeId="0" xr:uid="{00000000-0006-0000-0600-000002000000}">
      <text>
        <r>
          <rPr>
            <b/>
            <sz val="9"/>
            <color indexed="81"/>
            <rFont val="돋움"/>
            <family val="3"/>
            <charset val="129"/>
          </rPr>
          <t>위험성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수준</t>
        </r>
        <r>
          <rPr>
            <b/>
            <sz val="9"/>
            <color indexed="81"/>
            <rFont val="Tahoma"/>
            <family val="2"/>
          </rPr>
          <t xml:space="preserve"> 9 </t>
        </r>
        <r>
          <rPr>
            <b/>
            <sz val="9"/>
            <color indexed="81"/>
            <rFont val="돋움"/>
            <family val="3"/>
            <charset val="129"/>
          </rPr>
          <t>이상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
작성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별도의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감소대책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실행계획서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작성</t>
        </r>
      </text>
    </comment>
    <comment ref="D7" authorId="0" shapeId="0" xr:uid="{00000000-0006-0000-0600-000003000000}">
      <text>
        <r>
          <rPr>
            <b/>
            <sz val="12"/>
            <color indexed="81"/>
            <rFont val="돋움"/>
            <family val="3"/>
            <charset val="129"/>
          </rPr>
          <t>고소작업
전기작업
중량물취급작업
소음작업
협소한 공간 작업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6" authorId="0" shapeId="0" xr:uid="{00000000-0006-0000-0700-000001000000}">
      <text>
        <r>
          <rPr>
            <b/>
            <sz val="9"/>
            <color indexed="81"/>
            <rFont val="돋움"/>
            <family val="3"/>
            <charset val="129"/>
          </rPr>
          <t>재해유형별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분류
떨어짐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넘어짐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깔림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부딪힘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맞음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끼임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절단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베임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찔림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감전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폭발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화재
불균형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무리한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동작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이상온도·물체접촉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화학물질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누출·접촉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질식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산소결핍</t>
        </r>
        <r>
          <rPr>
            <b/>
            <sz val="9"/>
            <color indexed="81"/>
            <rFont val="Tahoma"/>
            <family val="2"/>
          </rPr>
          <t xml:space="preserve">), </t>
        </r>
        <r>
          <rPr>
            <b/>
            <sz val="9"/>
            <color indexed="81"/>
            <rFont val="돋움"/>
            <family val="3"/>
            <charset val="129"/>
          </rPr>
          <t>기타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
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구분하여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작성
</t>
        </r>
        <r>
          <rPr>
            <b/>
            <sz val="9"/>
            <color indexed="81"/>
            <rFont val="Tahoma"/>
            <family val="2"/>
          </rPr>
          <t xml:space="preserve">-&gt; </t>
        </r>
        <r>
          <rPr>
            <b/>
            <sz val="9"/>
            <color indexed="81"/>
            <rFont val="돋움"/>
            <family val="3"/>
            <charset val="129"/>
          </rPr>
          <t>위험성평가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재해유형별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분류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참고</t>
        </r>
      </text>
    </comment>
    <comment ref="R6" authorId="0" shapeId="0" xr:uid="{00000000-0006-0000-0700-000002000000}">
      <text>
        <r>
          <rPr>
            <b/>
            <sz val="9"/>
            <color indexed="81"/>
            <rFont val="돋움"/>
            <family val="3"/>
            <charset val="129"/>
          </rPr>
          <t>위험성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수준</t>
        </r>
        <r>
          <rPr>
            <b/>
            <sz val="9"/>
            <color indexed="81"/>
            <rFont val="Tahoma"/>
            <family val="2"/>
          </rPr>
          <t xml:space="preserve"> 9 </t>
        </r>
        <r>
          <rPr>
            <b/>
            <sz val="9"/>
            <color indexed="81"/>
            <rFont val="돋움"/>
            <family val="3"/>
            <charset val="129"/>
          </rPr>
          <t>이상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
작성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별도의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감소대책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실행계획서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작성</t>
        </r>
      </text>
    </comment>
    <comment ref="D7" authorId="0" shapeId="0" xr:uid="{00000000-0006-0000-0700-000003000000}">
      <text>
        <r>
          <rPr>
            <b/>
            <sz val="12"/>
            <color indexed="81"/>
            <rFont val="돋움"/>
            <family val="3"/>
            <charset val="129"/>
          </rPr>
          <t>고소작업
전기작업
중량물취급작업
소음작업
협소한 공간 작업</t>
        </r>
      </text>
    </comment>
  </commentList>
</comments>
</file>

<file path=xl/sharedStrings.xml><?xml version="1.0" encoding="utf-8"?>
<sst xmlns="http://schemas.openxmlformats.org/spreadsheetml/2006/main" count="430" uniqueCount="136">
  <si>
    <t>평가일시</t>
  </si>
  <si>
    <t>위험성</t>
  </si>
  <si>
    <t>[별표 2] 위험성평가표</t>
    <phoneticPr fontId="4" type="noConversion"/>
  </si>
  <si>
    <t>감소대책</t>
    <phoneticPr fontId="4" type="noConversion"/>
  </si>
  <si>
    <t>위 험 성 평 가 표</t>
    <phoneticPr fontId="4" type="noConversion"/>
  </si>
  <si>
    <t>재해유형</t>
    <phoneticPr fontId="4" type="noConversion"/>
  </si>
  <si>
    <t>강도</t>
    <phoneticPr fontId="4" type="noConversion"/>
  </si>
  <si>
    <t>빈도</t>
    <phoneticPr fontId="4" type="noConversion"/>
  </si>
  <si>
    <t>위험도</t>
    <phoneticPr fontId="4" type="noConversion"/>
  </si>
  <si>
    <r>
      <t>유해</t>
    </r>
    <r>
      <rPr>
        <b/>
        <sz val="12"/>
        <color rgb="FF000000"/>
        <rFont val="함초롬바탕"/>
        <family val="1"/>
        <charset val="129"/>
      </rPr>
      <t>･</t>
    </r>
    <r>
      <rPr>
        <b/>
        <sz val="12"/>
        <color rgb="FF000000"/>
        <rFont val="바탕"/>
        <family val="1"/>
        <charset val="129"/>
      </rPr>
      <t>위험요인</t>
    </r>
    <phoneticPr fontId="4" type="noConversion"/>
  </si>
  <si>
    <t>11.29~30</t>
    <phoneticPr fontId="1" type="noConversion"/>
  </si>
  <si>
    <t>위험정보</t>
    <phoneticPr fontId="4" type="noConversion"/>
  </si>
  <si>
    <t>작업차량(기계) 또는 장비</t>
    <phoneticPr fontId="4" type="noConversion"/>
  </si>
  <si>
    <t>화학물질</t>
    <phoneticPr fontId="4" type="noConversion"/>
  </si>
  <si>
    <t>작업환경
(고소작업,전기, 중량물 등)</t>
    <phoneticPr fontId="4" type="noConversion"/>
  </si>
  <si>
    <t>예방대책
(현재의 안전·보건조치)</t>
    <phoneticPr fontId="4" type="noConversion"/>
  </si>
  <si>
    <t>부서명</t>
    <phoneticPr fontId="4" type="noConversion"/>
  </si>
  <si>
    <t>N/A</t>
    <phoneticPr fontId="4" type="noConversion"/>
  </si>
  <si>
    <t>평가대상</t>
    <phoneticPr fontId="4" type="noConversion"/>
  </si>
  <si>
    <t>작업내용</t>
    <phoneticPr fontId="4" type="noConversion"/>
  </si>
  <si>
    <t>작업절차
(세부공정)</t>
    <phoneticPr fontId="4" type="noConversion"/>
  </si>
  <si>
    <t>감소대책 실행 시 재평가</t>
    <phoneticPr fontId="4" type="noConversion"/>
  </si>
  <si>
    <t>작업책임자
(조장,반장)</t>
    <phoneticPr fontId="4" type="noConversion"/>
  </si>
  <si>
    <t>작업인원</t>
    <phoneticPr fontId="4" type="noConversion"/>
  </si>
  <si>
    <t>평가자</t>
    <phoneticPr fontId="4" type="noConversion"/>
  </si>
  <si>
    <t>위험성</t>
    <phoneticPr fontId="4" type="noConversion"/>
  </si>
  <si>
    <t>1~4</t>
    <phoneticPr fontId="4" type="noConversion"/>
  </si>
  <si>
    <t>1~5</t>
    <phoneticPr fontId="4" type="noConversion"/>
  </si>
  <si>
    <t>1~20</t>
    <phoneticPr fontId="4" type="noConversion"/>
  </si>
  <si>
    <t>위험성평가 데이터 필드</t>
    <phoneticPr fontId="4" type="noConversion"/>
  </si>
  <si>
    <t>떨어짐</t>
    <phoneticPr fontId="4" type="noConversion"/>
  </si>
  <si>
    <t>넘어짐</t>
    <phoneticPr fontId="4" type="noConversion"/>
  </si>
  <si>
    <t>부딪힘</t>
    <phoneticPr fontId="4" type="noConversion"/>
  </si>
  <si>
    <t>깔림</t>
    <phoneticPr fontId="4" type="noConversion"/>
  </si>
  <si>
    <t>맞음</t>
    <phoneticPr fontId="4" type="noConversion"/>
  </si>
  <si>
    <t>무너짐</t>
    <phoneticPr fontId="4" type="noConversion"/>
  </si>
  <si>
    <t>끼임</t>
    <phoneticPr fontId="4" type="noConversion"/>
  </si>
  <si>
    <t>절단/베임/찔림</t>
    <phoneticPr fontId="4" type="noConversion"/>
  </si>
  <si>
    <t>감전</t>
    <phoneticPr fontId="4" type="noConversion"/>
  </si>
  <si>
    <t>폭발/화재</t>
    <phoneticPr fontId="4" type="noConversion"/>
  </si>
  <si>
    <t>무리한 신체동작</t>
    <phoneticPr fontId="4" type="noConversion"/>
  </si>
  <si>
    <t>화학물질 누출/접촉</t>
    <phoneticPr fontId="4" type="noConversion"/>
  </si>
  <si>
    <t>산소결핍</t>
    <phoneticPr fontId="4" type="noConversion"/>
  </si>
  <si>
    <t>빠짐</t>
    <phoneticPr fontId="4" type="noConversion"/>
  </si>
  <si>
    <t>교통사고</t>
    <phoneticPr fontId="4" type="noConversion"/>
  </si>
  <si>
    <t>폭력행위</t>
    <phoneticPr fontId="4" type="noConversion"/>
  </si>
  <si>
    <t>넘어짐</t>
  </si>
  <si>
    <t>기타</t>
    <phoneticPr fontId="4" type="noConversion"/>
  </si>
  <si>
    <t>작업주기/빈도</t>
    <phoneticPr fontId="4" type="noConversion"/>
  </si>
  <si>
    <t>주간</t>
    <phoneticPr fontId="4" type="noConversion"/>
  </si>
  <si>
    <t>월간</t>
    <phoneticPr fontId="4" type="noConversion"/>
  </si>
  <si>
    <t>고소작업</t>
    <phoneticPr fontId="4" type="noConversion"/>
  </si>
  <si>
    <t>전기작업</t>
    <phoneticPr fontId="4" type="noConversion"/>
  </si>
  <si>
    <t>중량물취급작업</t>
    <phoneticPr fontId="4" type="noConversion"/>
  </si>
  <si>
    <t>화기작업</t>
    <phoneticPr fontId="4" type="noConversion"/>
  </si>
  <si>
    <t>밀폐공간</t>
    <phoneticPr fontId="4" type="noConversion"/>
  </si>
  <si>
    <t>소음작업</t>
    <phoneticPr fontId="4" type="noConversion"/>
  </si>
  <si>
    <t>진동작업</t>
    <phoneticPr fontId="4" type="noConversion"/>
  </si>
  <si>
    <t>천장 속 작업</t>
    <phoneticPr fontId="4" type="noConversion"/>
  </si>
  <si>
    <t>협소공간작업</t>
    <phoneticPr fontId="4" type="noConversion"/>
  </si>
  <si>
    <t>작업환경요인</t>
    <phoneticPr fontId="4" type="noConversion"/>
  </si>
  <si>
    <t>고온(혹서기)작업</t>
    <phoneticPr fontId="4" type="noConversion"/>
  </si>
  <si>
    <t>한랭(혹한기)작업</t>
    <phoneticPr fontId="4" type="noConversion"/>
  </si>
  <si>
    <t>교대/야간근무</t>
    <phoneticPr fontId="4" type="noConversion"/>
  </si>
  <si>
    <t>분기</t>
    <phoneticPr fontId="4" type="noConversion"/>
  </si>
  <si>
    <t>반기</t>
    <phoneticPr fontId="4" type="noConversion"/>
  </si>
  <si>
    <t>연간</t>
    <phoneticPr fontId="4" type="noConversion"/>
  </si>
  <si>
    <t>비정상작업</t>
    <phoneticPr fontId="4" type="noConversion"/>
  </si>
  <si>
    <t>선로작업</t>
    <phoneticPr fontId="4" type="noConversion"/>
  </si>
  <si>
    <t>작업장소</t>
    <phoneticPr fontId="4" type="noConversion"/>
  </si>
  <si>
    <t>역사</t>
    <phoneticPr fontId="4" type="noConversion"/>
  </si>
  <si>
    <t>차량기지</t>
    <phoneticPr fontId="4" type="noConversion"/>
  </si>
  <si>
    <t>일일(수시)</t>
    <phoneticPr fontId="4" type="noConversion"/>
  </si>
  <si>
    <t>비산먼지발생작업</t>
    <phoneticPr fontId="4" type="noConversion"/>
  </si>
  <si>
    <t>본선</t>
    <phoneticPr fontId="4" type="noConversion"/>
  </si>
  <si>
    <t>환기구</t>
    <phoneticPr fontId="4" type="noConversion"/>
  </si>
  <si>
    <t>기능실</t>
    <phoneticPr fontId="4" type="noConversion"/>
  </si>
  <si>
    <t>본사</t>
    <phoneticPr fontId="4" type="noConversion"/>
  </si>
  <si>
    <t>3일</t>
    <phoneticPr fontId="4" type="noConversion"/>
  </si>
  <si>
    <t>격주</t>
    <phoneticPr fontId="4" type="noConversion"/>
  </si>
  <si>
    <t>반복(고정)작업</t>
    <phoneticPr fontId="4" type="noConversion"/>
  </si>
  <si>
    <t>평가시기</t>
    <phoneticPr fontId="4" type="noConversion"/>
  </si>
  <si>
    <r>
      <t>유해</t>
    </r>
    <r>
      <rPr>
        <b/>
        <sz val="12"/>
        <color theme="1"/>
        <rFont val="함초롬바탕"/>
        <family val="1"/>
        <charset val="129"/>
      </rPr>
      <t>･</t>
    </r>
    <r>
      <rPr>
        <b/>
        <sz val="12"/>
        <color theme="1"/>
        <rFont val="바탕"/>
        <family val="1"/>
        <charset val="129"/>
      </rPr>
      <t>위험요인</t>
    </r>
    <phoneticPr fontId="4" type="noConversion"/>
  </si>
  <si>
    <t>고소작업</t>
  </si>
  <si>
    <t>떨어짐</t>
  </si>
  <si>
    <t>부딪힘</t>
  </si>
  <si>
    <t>지붕에서 이동</t>
    <phoneticPr fontId="4" type="noConversion"/>
  </si>
  <si>
    <t>채광창이 부서지면서 떨어짐</t>
    <phoneticPr fontId="4" type="noConversion"/>
  </si>
  <si>
    <t xml:space="preserve">시설팀 </t>
    <phoneticPr fontId="4" type="noConversion"/>
  </si>
  <si>
    <t>육안점검</t>
    <phoneticPr fontId="4" type="noConversion"/>
  </si>
  <si>
    <t>시설물과의 충돌</t>
    <phoneticPr fontId="4" type="noConversion"/>
  </si>
  <si>
    <t>기계실, 보일러실 작업</t>
    <phoneticPr fontId="4" type="noConversion"/>
  </si>
  <si>
    <t>집수정 작업</t>
    <phoneticPr fontId="4" type="noConversion"/>
  </si>
  <si>
    <t>진입 사다리 이동시 추락</t>
    <phoneticPr fontId="4" type="noConversion"/>
  </si>
  <si>
    <t>점검 이동간 낮은시설물(덕트, 배관)에 충돌</t>
    <phoneticPr fontId="4" type="noConversion"/>
  </si>
  <si>
    <t>시설팀</t>
    <phoneticPr fontId="4" type="noConversion"/>
  </si>
  <si>
    <t>옥상</t>
    <phoneticPr fontId="4" type="noConversion"/>
  </si>
  <si>
    <t>주차장</t>
    <phoneticPr fontId="4" type="noConversion"/>
  </si>
  <si>
    <t>이동 점검</t>
    <phoneticPr fontId="4" type="noConversion"/>
  </si>
  <si>
    <t>이동간 차량과의 충돌</t>
    <phoneticPr fontId="4" type="noConversion"/>
  </si>
  <si>
    <t>1. 차량 이동여부 확인                                                                2. 지정된 보행로 이용                                                          3. 보호구 착용</t>
    <phoneticPr fontId="4" type="noConversion"/>
  </si>
  <si>
    <t>폐수처리장</t>
    <phoneticPr fontId="4" type="noConversion"/>
  </si>
  <si>
    <t>이동 점검간 개구부 추락</t>
    <phoneticPr fontId="4" type="noConversion"/>
  </si>
  <si>
    <t>1. 개구부 덮개 설치 및 고정 확인철저                                2.  보호구 착용</t>
    <phoneticPr fontId="4" type="noConversion"/>
  </si>
  <si>
    <t>1. 안전모 착용                                                                      2. 지정된 통로 이동                                                             3. 머리부위 시설물 위치 확인</t>
    <phoneticPr fontId="4" type="noConversion"/>
  </si>
  <si>
    <t>이동점검간 시설물과의 충돌</t>
    <phoneticPr fontId="4" type="noConversion"/>
  </si>
  <si>
    <t>검수고, 주공장</t>
    <phoneticPr fontId="4" type="noConversion"/>
  </si>
  <si>
    <t>1.이동간 안전 발판 사용
2.안전대 부착설비 (로프) 설치 안전대 착용                                                            3. 지정된 통로로만 이동                                                             4. 안전모 착용</t>
    <phoneticPr fontId="4" type="noConversion"/>
  </si>
  <si>
    <t>1.지게차 작업반경내 접근금지
2.신호수 배치
3.신호수 신호에 따라 작업                                                        4. 지정된 통로 이용</t>
    <phoneticPr fontId="4" type="noConversion"/>
  </si>
  <si>
    <t>차량 하역 운반기계(지게차, 구내운반차)와 충돌</t>
    <phoneticPr fontId="4" type="noConversion"/>
  </si>
  <si>
    <t>타분야 작업의 낙하물에 맞음</t>
    <phoneticPr fontId="4" type="noConversion"/>
  </si>
  <si>
    <t>맞음</t>
  </si>
  <si>
    <t>1. 작업반경내 진입금지                                                           2. 이동점검간 전방주시 철저                                                            3. 지정된 보행로 이동                                                                         4. 보호구 착용</t>
    <phoneticPr fontId="4" type="noConversion"/>
  </si>
  <si>
    <t>이동 점검간 넘어짐</t>
    <phoneticPr fontId="4" type="noConversion"/>
  </si>
  <si>
    <t>1. 이동간 발 밑 지장물 확인                                                       2. 지정된 통로 이동                                                                3. 안전모 착용</t>
    <phoneticPr fontId="4" type="noConversion"/>
  </si>
  <si>
    <t>1. 사다리 발판 확인                                                                      2. 보호구 착용                                                                           3. 조명(조도) 상태 확인</t>
    <phoneticPr fontId="4" type="noConversion"/>
  </si>
  <si>
    <t xml:space="preserve">1. 보호구(안전모) 착용                                                                                      </t>
    <phoneticPr fontId="4" type="noConversion"/>
  </si>
  <si>
    <t xml:space="preserve">1. 유해가스 농도측정                                                                     2. 환기(급,배기 순환)                                                         3. 밀폐공간 작업자 기준과 동일                                                                                                                                                  </t>
    <phoneticPr fontId="4" type="noConversion"/>
  </si>
  <si>
    <t>운행열차와 충돌</t>
    <phoneticPr fontId="4" type="noConversion"/>
  </si>
  <si>
    <t>이동간 넘어짐</t>
    <phoneticPr fontId="4" type="noConversion"/>
  </si>
  <si>
    <t>1.안전보호구 착용(안전화, 안전모등)
2.이동간 전방 및 발밑 시설물 확인</t>
    <phoneticPr fontId="4" type="noConversion"/>
  </si>
  <si>
    <t>1. 본선작업 절차 준수                                                                       2. 관제통제 준수                                                                      3. 열차감시인 배치확인                                                               4. 보호구 착용</t>
    <phoneticPr fontId="4" type="noConversion"/>
  </si>
  <si>
    <t>조경수목 방재작업</t>
    <phoneticPr fontId="4" type="noConversion"/>
  </si>
  <si>
    <t>한승우</t>
    <phoneticPr fontId="4" type="noConversion"/>
  </si>
  <si>
    <t>23년 정기</t>
    <phoneticPr fontId="4" type="noConversion"/>
  </si>
  <si>
    <t>24년 정기
(23년)</t>
    <phoneticPr fontId="4" type="noConversion"/>
  </si>
  <si>
    <t>기계실, 보일러실</t>
    <phoneticPr fontId="4" type="noConversion"/>
  </si>
  <si>
    <t>집수정</t>
    <phoneticPr fontId="4" type="noConversion"/>
  </si>
  <si>
    <t>옥상점검</t>
    <phoneticPr fontId="4" type="noConversion"/>
  </si>
  <si>
    <t>방재작업</t>
    <phoneticPr fontId="4" type="noConversion"/>
  </si>
  <si>
    <t>본사 및 차량기지</t>
    <phoneticPr fontId="4" type="noConversion"/>
  </si>
  <si>
    <t>25.04.22</t>
    <phoneticPr fontId="4" type="noConversion"/>
  </si>
  <si>
    <t>24년 정기</t>
    <phoneticPr fontId="4" type="noConversion"/>
  </si>
  <si>
    <t>25.04.22</t>
  </si>
  <si>
    <r>
      <t>밀폐공간</t>
    </r>
    <r>
      <rPr>
        <sz val="11"/>
        <color theme="1"/>
        <rFont val="함초롬바탕"/>
        <family val="1"/>
        <charset val="129"/>
      </rPr>
      <t xml:space="preserve"> 진입시 </t>
    </r>
    <r>
      <rPr>
        <sz val="11"/>
        <color theme="1"/>
        <rFont val="바탕"/>
        <family val="1"/>
        <charset val="129"/>
      </rPr>
      <t>유해</t>
    </r>
    <r>
      <rPr>
        <sz val="11"/>
        <color theme="1"/>
        <rFont val="함초롬바탕"/>
        <family val="1"/>
        <charset val="129"/>
      </rPr>
      <t>가스 노출</t>
    </r>
    <phoneticPr fontId="4" type="noConversion"/>
  </si>
  <si>
    <t>산소결핍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</si>
</sst>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맑은 고딕"/>
      <family val="2"/>
      <charset val="129"/>
      <scheme val="minor"/>
    </font>
    <font>
      <b/>
      <sz val="10"/>
      <color rgb="FF000000"/>
      <name val="바탕"/>
      <family val="1"/>
      <charset val="129"/>
    </font>
    <font>
      <b/>
      <sz val="11"/>
      <color rgb="FF000000"/>
      <name val="바탕"/>
      <family val="1"/>
      <charset val="129"/>
    </font>
    <font>
      <b/>
      <sz val="12"/>
      <color rgb="FF000000"/>
      <name val="바탕"/>
      <family val="1"/>
      <charset val="129"/>
    </font>
    <font>
      <sz val="8"/>
      <name val="맑은 고딕"/>
      <family val="2"/>
      <charset val="129"/>
      <scheme val="minor"/>
    </font>
    <font>
      <b/>
      <sz val="24"/>
      <color rgb="FF000000"/>
      <name val="HY견고딕"/>
      <family val="1"/>
      <charset val="129"/>
    </font>
    <font>
      <b/>
      <sz val="12"/>
      <color rgb="FF000000"/>
      <name val="함초롬바탕"/>
      <family val="1"/>
      <charset val="129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11"/>
      <color rgb="FF0033CC"/>
      <name val="바탕"/>
      <family val="1"/>
      <charset val="129"/>
    </font>
    <font>
      <sz val="11"/>
      <name val="바탕"/>
      <family val="1"/>
      <charset val="129"/>
    </font>
    <font>
      <b/>
      <sz val="11"/>
      <name val="바탕"/>
      <family val="1"/>
      <charset val="129"/>
    </font>
    <font>
      <b/>
      <sz val="12"/>
      <color indexed="81"/>
      <name val="돋움"/>
      <family val="3"/>
      <charset val="129"/>
    </font>
    <font>
      <sz val="11"/>
      <color rgb="FF0033CC"/>
      <name val="바탕"/>
      <family val="1"/>
      <charset val="129"/>
    </font>
    <font>
      <sz val="11"/>
      <color indexed="8"/>
      <name val="Calibri"/>
      <family val="2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b/>
      <sz val="10"/>
      <name val="바탕"/>
      <family val="1"/>
      <charset val="129"/>
    </font>
    <font>
      <b/>
      <sz val="12"/>
      <color theme="1"/>
      <name val="바탕"/>
      <family val="1"/>
      <charset val="129"/>
    </font>
    <font>
      <b/>
      <sz val="11"/>
      <color theme="1"/>
      <name val="바탕"/>
      <family val="1"/>
      <charset val="129"/>
    </font>
    <font>
      <sz val="11"/>
      <color theme="1"/>
      <name val="바탕"/>
      <family val="1"/>
      <charset val="129"/>
    </font>
    <font>
      <b/>
      <sz val="24"/>
      <color theme="1"/>
      <name val="HY견고딕"/>
      <family val="1"/>
      <charset val="129"/>
    </font>
    <font>
      <b/>
      <sz val="10"/>
      <color theme="1"/>
      <name val="바탕"/>
      <family val="1"/>
      <charset val="129"/>
    </font>
    <font>
      <b/>
      <sz val="12"/>
      <color theme="1"/>
      <name val="함초롬바탕"/>
      <family val="1"/>
      <charset val="129"/>
    </font>
    <font>
      <sz val="10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sz val="11"/>
      <name val="맑은 고딕"/>
      <family val="3"/>
      <charset val="129"/>
    </font>
    <font>
      <sz val="11"/>
      <color rgb="FF0033CC"/>
      <name val="맑은 고딕"/>
      <family val="3"/>
      <charset val="129"/>
    </font>
    <font>
      <sz val="11"/>
      <color theme="1"/>
      <name val="함초롬바탕"/>
      <family val="1"/>
      <charset val="129"/>
    </font>
  </fonts>
  <fills count="8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8F8F"/>
        <bgColor indexed="64"/>
      </patternFill>
    </fill>
    <fill>
      <patternFill patternType="solid">
        <fgColor rgb="FFFF0000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4" fillId="0" borderId="0"/>
    <xf numFmtId="0" fontId="15" fillId="0" borderId="0"/>
    <xf numFmtId="0" fontId="14" fillId="0" borderId="0"/>
  </cellStyleXfs>
  <cellXfs count="106">
    <xf numFmtId="0" fontId="0" fillId="0" borderId="0" xfId="0">
      <alignment vertical="center"/>
    </xf>
    <xf numFmtId="0" fontId="3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13" fillId="0" borderId="2" xfId="0" applyFont="1" applyBorder="1" applyAlignment="1">
      <alignment vertical="center" wrapText="1"/>
    </xf>
    <xf numFmtId="0" fontId="17" fillId="0" borderId="12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6" fillId="0" borderId="2" xfId="1" applyFont="1" applyBorder="1" applyAlignment="1">
      <alignment horizontal="center" vertical="center" wrapText="1"/>
    </xf>
    <xf numFmtId="0" fontId="20" fillId="0" borderId="2" xfId="0" applyFont="1" applyBorder="1" applyAlignment="1">
      <alignment vertical="center" wrapText="1"/>
    </xf>
    <xf numFmtId="0" fontId="20" fillId="0" borderId="2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20" xfId="0" applyFont="1" applyBorder="1" applyAlignment="1">
      <alignment horizontal="center" vertical="center" wrapText="1"/>
    </xf>
    <xf numFmtId="0" fontId="24" fillId="0" borderId="2" xfId="1" applyFont="1" applyBorder="1" applyAlignment="1">
      <alignment horizontal="center" vertical="center" wrapText="1"/>
    </xf>
    <xf numFmtId="0" fontId="25" fillId="0" borderId="2" xfId="1" applyFont="1" applyBorder="1" applyAlignment="1">
      <alignment horizontal="center" vertical="center" wrapText="1"/>
    </xf>
    <xf numFmtId="0" fontId="26" fillId="0" borderId="2" xfId="1" applyFont="1" applyBorder="1" applyAlignment="1">
      <alignment horizontal="center" vertical="center" wrapText="1"/>
    </xf>
    <xf numFmtId="0" fontId="10" fillId="0" borderId="2" xfId="0" applyFont="1" applyBorder="1" applyAlignment="1">
      <alignment vertical="center" wrapText="1"/>
    </xf>
    <xf numFmtId="0" fontId="27" fillId="0" borderId="2" xfId="1" applyFont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10" fillId="0" borderId="2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0" fillId="2" borderId="0" xfId="0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4" borderId="0" xfId="0" applyFill="1" applyAlignment="1">
      <alignment horizontal="left" vertical="center"/>
    </xf>
    <xf numFmtId="0" fontId="0" fillId="5" borderId="0" xfId="0" applyFill="1" applyAlignment="1">
      <alignment horizontal="left" vertical="center"/>
    </xf>
    <xf numFmtId="0" fontId="0" fillId="6" borderId="0" xfId="0" applyFill="1" applyAlignment="1">
      <alignment horizontal="left" vertical="center"/>
    </xf>
    <xf numFmtId="0" fontId="0" fillId="7" borderId="0" xfId="0" applyFill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13" fillId="0" borderId="2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3" fillId="0" borderId="16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left" vertical="center" wrapText="1"/>
    </xf>
    <xf numFmtId="0" fontId="21" fillId="0" borderId="2" xfId="0" applyFont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5" xfId="0" applyFont="1" applyBorder="1" applyAlignment="1">
      <alignment horizontal="center" vertical="center" wrapText="1"/>
    </xf>
    <xf numFmtId="0" fontId="19" fillId="0" borderId="19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18" fillId="0" borderId="16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9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8" fillId="0" borderId="6" xfId="0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left" vertical="center" wrapText="1"/>
    </xf>
    <xf numFmtId="0" fontId="10" fillId="0" borderId="14" xfId="0" applyFont="1" applyBorder="1" applyAlignment="1">
      <alignment horizontal="left" vertical="center" wrapText="1"/>
    </xf>
    <xf numFmtId="0" fontId="10" fillId="0" borderId="13" xfId="0" applyFont="1" applyBorder="1" applyAlignment="1">
      <alignment horizontal="left" vertical="center" wrapText="1"/>
    </xf>
    <xf numFmtId="0" fontId="11" fillId="0" borderId="12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4">
    <cellStyle name="표준" xfId="0" builtinId="0"/>
    <cellStyle name="표준 2 2" xfId="3" xr:uid="{00000000-0005-0000-0000-000001000000}"/>
    <cellStyle name="표준 3" xfId="2" xr:uid="{00000000-0005-0000-0000-000002000000}"/>
    <cellStyle name="표준 3 2" xfId="1" xr:uid="{00000000-0005-0000-0000-000003000000}"/>
  </cellStyles>
  <dxfs count="45"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4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5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esktop/&#50948;&#54744;&#49457;&#54217;&#44032;/&#48537;&#51076;1.%20&#50976;&#54644;&#50948;&#54744;&#50836;&#51064;%20&#48516;&#47448;&#54364;%20&#48143;%20&#50948;&#54744;&#49457;&#54217;&#44032;&#54364;(23&#45380;%20&#45348;&#50724;&#53944;&#47004;&#49828;)/&#54801;&#47141;&#49324;/&#50956;&#50532;&#48708;&#51204;/&#50976;&#54644;&#50948;&#54744;&#50836;&#51064;%20&#48516;&#47448;&#54364;%20&#48143;%20&#50948;&#54744;&#49457;&#54217;&#44032;&#54364;_&#50956;&#50532;&#48708;&#51204;(&#44592;&#51648;)_202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esktop/&#47928;&#49436;/14.&#50836;&#52397;&#49436;&#47448;/&#50976;&#54644;&#50948;&#54744;&#50836;&#51064;%20&#48516;&#47448;&#54364;%20&#48143;%20&#50948;&#54744;&#49457;&#54217;&#44032;&#54364;_&#52264;&#47049;&#44592;&#51648;%20&#50956;&#50532;&#48708;&#51204;0324_&#52572;&#51333;_&#49688;&#51221;&#48376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esktop/&#50948;&#54744;&#49457;&#54217;&#44032;%20&#49324;&#51204;&#44160;&#53664;/&#49884;&#49444;&#54016;/&#50948;&#54744;&#49457;&#54217;&#44032;&#54364;_&#49884;&#49444;(&#48376;&#49324;,%20&#44592;&#51648;)_2025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0/8.&#50948;&#54744;&#49457;&#54217;&#44032;/25&#45380;&#46020;/&#50948;&#54744;&#49457;&#54217;&#44032;(&#48512;&#49436;&#48324;)_24&#45380;&#46020;%20&#51221;&#44592;,&#49688;&#49884;%20&#52572;&#51333;%20&#48152;&#50689;/&#45348;&#50724;/&#49884;&#49444;/&#50948;&#54744;&#49457;&#54217;&#44032;&#54364;_&#49884;&#49444;(&#49884;&#49444;&#44288;&#47532;)_2024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esktop/&#47928;&#49436;/5.&#50504;&#51204;&#44288;&#47532;&#44228;&#54925;&#49436;,&#50948;&#54744;&#49457;&#54217;&#44032;/2024/&#54224;&#44592;&#47932;&#52376;&#47532;&#51109;%20&#53685;&#54413;&#52285;%20&#54224;&#49604;&#51089;&#50629;/&#50948;&#54744;&#49457;&#54217;&#4403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갑지(협력업체)"/>
      <sheetName val="위험성평가 대상작업목록 기계"/>
      <sheetName val="위험성평가 대상작업목록(전기)"/>
      <sheetName val="위험성평가 대상작업목록(소방)"/>
      <sheetName val="위험성평가 대상작업목록(건축)"/>
      <sheetName val="위험성평가 대상작업목록(조경)"/>
      <sheetName val="기계-공조기"/>
      <sheetName val="기계-FAN"/>
      <sheetName val="기계-보일러"/>
      <sheetName val="기계-냉동기"/>
      <sheetName val="전기 - 콘센트"/>
      <sheetName val="전기 - 형광등"/>
      <sheetName val="전기 - 스위치 교체"/>
      <sheetName val="소방 - 감지기"/>
      <sheetName val="소방 - 유도등"/>
      <sheetName val="건축 - 페인트"/>
      <sheetName val="건축 - 도어클로져"/>
      <sheetName val="건축 - 타일"/>
      <sheetName val="조경 - 잔디깍기"/>
      <sheetName val="조경 - 조경관리"/>
      <sheetName val="조경 - 재설작업"/>
      <sheetName val="Sheet1"/>
      <sheetName val="데이터필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갑지(네오)"/>
      <sheetName val=" 갑지(협력업체)"/>
      <sheetName val="위험성평가 대상작업목록 기계"/>
      <sheetName val="위험성평가 대상작업목록(전기)"/>
      <sheetName val="위험성평가 대상작업목록(소방)"/>
      <sheetName val="위험성평가 대상작업목록(건축)"/>
      <sheetName val="위험성평가 대상작업목록(조경)"/>
      <sheetName val="기계-공조기"/>
      <sheetName val="기계-FAN"/>
      <sheetName val="기계-보일러"/>
      <sheetName val="기계-냉동기"/>
      <sheetName val="기계-집수정"/>
      <sheetName val="기계-폐수처리장"/>
      <sheetName val="전기 - 콘센트"/>
      <sheetName val="전기 - 형광등"/>
      <sheetName val="전기 - 스위치 교체"/>
      <sheetName val="소방 - 감지기"/>
      <sheetName val="소방 - 유도등"/>
      <sheetName val="건축 - 페인트"/>
      <sheetName val="건축 - 도어클로져"/>
      <sheetName val="건축 - 타일"/>
      <sheetName val="건축 - 누수"/>
      <sheetName val="조경 - 잔디깍기"/>
      <sheetName val="조경 - 조경관리"/>
      <sheetName val="조경 - 재설작업"/>
      <sheetName val="위험성평가회의록"/>
      <sheetName val="데이터필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위험성평가 대상작업목록"/>
      <sheetName val="기계실, 보일러실"/>
      <sheetName val="집수정"/>
      <sheetName val="옥상점검"/>
      <sheetName val="주차장"/>
      <sheetName val="폐수처리장"/>
      <sheetName val="검수고, 주공장"/>
      <sheetName val="방재작업"/>
      <sheetName val="위험성평가회의록"/>
      <sheetName val="근로자의견"/>
      <sheetName val="데이터필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위험성평가 대상작업목록"/>
      <sheetName val="기계실, 보일러실"/>
      <sheetName val="집수정"/>
      <sheetName val="옥상점검"/>
      <sheetName val="주차장"/>
      <sheetName val="폐수처리장"/>
      <sheetName val="검수고, 주공장"/>
      <sheetName val="방재작업"/>
      <sheetName val="Sheet1"/>
      <sheetName val="데이터필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조경 - 병충해"/>
      <sheetName val="데이터필드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-0.249977111117893"/>
  </sheetPr>
  <dimension ref="A1:W127"/>
  <sheetViews>
    <sheetView tabSelected="1" view="pageBreakPreview" zoomScale="85" zoomScaleNormal="100" zoomScaleSheetLayoutView="85" workbookViewId="0">
      <pane ySplit="8" topLeftCell="A9" activePane="bottomLeft" state="frozen"/>
      <selection activeCell="D14" sqref="D14"/>
      <selection pane="bottomLeft" activeCell="D14" sqref="D14"/>
    </sheetView>
  </sheetViews>
  <sheetFormatPr defaultRowHeight="16.5" x14ac:dyDescent="0.3"/>
  <cols>
    <col min="1" max="1" width="15.625" customWidth="1"/>
    <col min="2" max="4" width="13.625" customWidth="1"/>
    <col min="5" max="5" width="13.625" style="9" customWidth="1"/>
    <col min="6" max="9" width="13.625" customWidth="1"/>
    <col min="10" max="11" width="5.625" customWidth="1"/>
    <col min="12" max="14" width="13.625" customWidth="1"/>
    <col min="15" max="17" width="7.625" customWidth="1"/>
    <col min="18" max="19" width="9.625" customWidth="1"/>
    <col min="20" max="23" width="10.625" customWidth="1"/>
  </cols>
  <sheetData>
    <row r="1" spans="1:23" ht="30" customHeight="1" x14ac:dyDescent="0.3">
      <c r="A1" s="37" t="s">
        <v>2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4"/>
      <c r="V1" s="4"/>
      <c r="W1" s="4"/>
    </row>
    <row r="2" spans="1:23" ht="39.950000000000003" customHeight="1" x14ac:dyDescent="0.3">
      <c r="A2" s="1" t="s">
        <v>16</v>
      </c>
      <c r="B2" s="58" t="s">
        <v>88</v>
      </c>
      <c r="C2" s="59"/>
      <c r="D2" s="59"/>
      <c r="E2" s="60"/>
      <c r="F2" s="70" t="s">
        <v>4</v>
      </c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64" t="s">
        <v>24</v>
      </c>
      <c r="S2" s="65"/>
      <c r="T2" s="6" t="s">
        <v>22</v>
      </c>
      <c r="U2" s="71"/>
      <c r="V2" s="71"/>
      <c r="W2" s="71"/>
    </row>
    <row r="3" spans="1:23" ht="30" customHeight="1" x14ac:dyDescent="0.3">
      <c r="A3" s="1" t="s">
        <v>18</v>
      </c>
      <c r="B3" s="58" t="s">
        <v>130</v>
      </c>
      <c r="C3" s="59"/>
      <c r="D3" s="59"/>
      <c r="E3" s="6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66"/>
      <c r="S3" s="67"/>
      <c r="T3" s="35" t="s">
        <v>23</v>
      </c>
      <c r="U3" s="71" t="s">
        <v>123</v>
      </c>
      <c r="V3" s="71"/>
      <c r="W3" s="71"/>
    </row>
    <row r="4" spans="1:23" ht="30" customHeight="1" x14ac:dyDescent="0.3">
      <c r="A4" s="1" t="s">
        <v>19</v>
      </c>
      <c r="B4" s="58" t="s">
        <v>91</v>
      </c>
      <c r="C4" s="59"/>
      <c r="D4" s="59"/>
      <c r="E4" s="60"/>
      <c r="F4" s="70"/>
      <c r="G4" s="70"/>
      <c r="H4" s="70"/>
      <c r="I4" s="70"/>
      <c r="J4" s="70"/>
      <c r="K4" s="70"/>
      <c r="L4" s="70"/>
      <c r="M4" s="70"/>
      <c r="N4" s="70"/>
      <c r="O4" s="70"/>
      <c r="P4" s="70"/>
      <c r="Q4" s="70"/>
      <c r="R4" s="66"/>
      <c r="S4" s="67"/>
      <c r="T4" s="35"/>
      <c r="U4" s="71"/>
      <c r="V4" s="71"/>
      <c r="W4" s="71"/>
    </row>
    <row r="5" spans="1:23" ht="30" customHeight="1" x14ac:dyDescent="0.3">
      <c r="A5" s="1" t="s">
        <v>0</v>
      </c>
      <c r="B5" s="58" t="s">
        <v>131</v>
      </c>
      <c r="C5" s="59"/>
      <c r="D5" s="59"/>
      <c r="E5" s="6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68"/>
      <c r="S5" s="69"/>
      <c r="T5" s="35"/>
      <c r="U5" s="71"/>
      <c r="V5" s="71"/>
      <c r="W5" s="71"/>
    </row>
    <row r="6" spans="1:23" ht="39.950000000000003" customHeight="1" x14ac:dyDescent="0.3">
      <c r="A6" s="44" t="s">
        <v>20</v>
      </c>
      <c r="B6" s="41" t="s">
        <v>11</v>
      </c>
      <c r="C6" s="42"/>
      <c r="D6" s="43"/>
      <c r="E6" s="61" t="s">
        <v>81</v>
      </c>
      <c r="F6" s="47" t="s">
        <v>9</v>
      </c>
      <c r="G6" s="48"/>
      <c r="H6" s="48"/>
      <c r="I6" s="49"/>
      <c r="J6" s="47" t="s">
        <v>5</v>
      </c>
      <c r="K6" s="49"/>
      <c r="L6" s="47" t="s">
        <v>15</v>
      </c>
      <c r="M6" s="48"/>
      <c r="N6" s="48"/>
      <c r="O6" s="38" t="s">
        <v>8</v>
      </c>
      <c r="P6" s="39"/>
      <c r="Q6" s="40"/>
      <c r="R6" s="48" t="s">
        <v>3</v>
      </c>
      <c r="S6" s="48"/>
      <c r="T6" s="48"/>
      <c r="U6" s="38" t="s">
        <v>21</v>
      </c>
      <c r="V6" s="39"/>
      <c r="W6" s="40"/>
    </row>
    <row r="7" spans="1:23" ht="30" customHeight="1" x14ac:dyDescent="0.3">
      <c r="A7" s="45"/>
      <c r="B7" s="56" t="s">
        <v>12</v>
      </c>
      <c r="C7" s="44" t="s">
        <v>13</v>
      </c>
      <c r="D7" s="56" t="s">
        <v>14</v>
      </c>
      <c r="E7" s="62"/>
      <c r="F7" s="50"/>
      <c r="G7" s="51"/>
      <c r="H7" s="51"/>
      <c r="I7" s="52"/>
      <c r="J7" s="50"/>
      <c r="K7" s="52"/>
      <c r="L7" s="50"/>
      <c r="M7" s="51"/>
      <c r="N7" s="51"/>
      <c r="O7" s="8" t="s">
        <v>6</v>
      </c>
      <c r="P7" s="8" t="s">
        <v>7</v>
      </c>
      <c r="Q7" s="8" t="s">
        <v>25</v>
      </c>
      <c r="R7" s="51"/>
      <c r="S7" s="51"/>
      <c r="T7" s="51"/>
      <c r="U7" s="8" t="s">
        <v>6</v>
      </c>
      <c r="V7" s="8" t="s">
        <v>7</v>
      </c>
      <c r="W7" s="8" t="s">
        <v>1</v>
      </c>
    </row>
    <row r="8" spans="1:23" ht="30" customHeight="1" x14ac:dyDescent="0.3">
      <c r="A8" s="46"/>
      <c r="B8" s="57"/>
      <c r="C8" s="46"/>
      <c r="D8" s="57"/>
      <c r="E8" s="63"/>
      <c r="F8" s="53"/>
      <c r="G8" s="54"/>
      <c r="H8" s="54"/>
      <c r="I8" s="55"/>
      <c r="J8" s="53"/>
      <c r="K8" s="55"/>
      <c r="L8" s="53"/>
      <c r="M8" s="54"/>
      <c r="N8" s="54"/>
      <c r="O8" s="7" t="s">
        <v>26</v>
      </c>
      <c r="P8" s="7" t="s">
        <v>27</v>
      </c>
      <c r="Q8" s="7" t="s">
        <v>28</v>
      </c>
      <c r="R8" s="54"/>
      <c r="S8" s="54"/>
      <c r="T8" s="54"/>
      <c r="U8" s="7" t="s">
        <v>26</v>
      </c>
      <c r="V8" s="7" t="s">
        <v>27</v>
      </c>
      <c r="W8" s="7" t="s">
        <v>28</v>
      </c>
    </row>
    <row r="9" spans="1:23" ht="60" customHeight="1" x14ac:dyDescent="0.3">
      <c r="A9" s="10" t="s">
        <v>98</v>
      </c>
      <c r="B9" s="11"/>
      <c r="C9" s="11"/>
      <c r="D9" s="11"/>
      <c r="E9" s="24" t="s">
        <v>132</v>
      </c>
      <c r="F9" s="72" t="s">
        <v>113</v>
      </c>
      <c r="G9" s="72"/>
      <c r="H9" s="72"/>
      <c r="I9" s="72"/>
      <c r="J9" s="71" t="s">
        <v>46</v>
      </c>
      <c r="K9" s="71"/>
      <c r="L9" s="72" t="s">
        <v>114</v>
      </c>
      <c r="M9" s="72"/>
      <c r="N9" s="72"/>
      <c r="O9" s="24">
        <v>2</v>
      </c>
      <c r="P9" s="24">
        <v>2</v>
      </c>
      <c r="Q9" s="24">
        <f t="shared" ref="Q9" si="0">O9*P9</f>
        <v>4</v>
      </c>
      <c r="R9" s="72"/>
      <c r="S9" s="72"/>
      <c r="T9" s="72"/>
      <c r="U9" s="24"/>
      <c r="V9" s="24"/>
      <c r="W9" s="24"/>
    </row>
    <row r="10" spans="1:23" ht="60" customHeight="1" x14ac:dyDescent="0.3">
      <c r="A10" s="19" t="s">
        <v>98</v>
      </c>
      <c r="B10" s="20"/>
      <c r="C10" s="20"/>
      <c r="D10" s="20"/>
      <c r="E10" s="24" t="s">
        <v>132</v>
      </c>
      <c r="F10" s="36" t="s">
        <v>90</v>
      </c>
      <c r="G10" s="36"/>
      <c r="H10" s="36"/>
      <c r="I10" s="36"/>
      <c r="J10" s="35" t="s">
        <v>32</v>
      </c>
      <c r="K10" s="35"/>
      <c r="L10" s="36" t="s">
        <v>104</v>
      </c>
      <c r="M10" s="36"/>
      <c r="N10" s="36"/>
      <c r="O10" s="23">
        <v>2</v>
      </c>
      <c r="P10" s="23">
        <v>1</v>
      </c>
      <c r="Q10" s="23">
        <f>O10*P10</f>
        <v>2</v>
      </c>
      <c r="R10" s="36"/>
      <c r="S10" s="36"/>
      <c r="T10" s="36"/>
      <c r="U10" s="3"/>
      <c r="V10" s="3"/>
      <c r="W10" s="3"/>
    </row>
    <row r="11" spans="1:23" ht="60" customHeight="1" x14ac:dyDescent="0.3">
      <c r="A11" s="10"/>
      <c r="B11" s="11"/>
      <c r="C11" s="11"/>
      <c r="D11" s="5"/>
      <c r="E11" s="3"/>
      <c r="F11" s="34"/>
      <c r="G11" s="34"/>
      <c r="H11" s="34"/>
      <c r="I11" s="34"/>
      <c r="J11" s="35"/>
      <c r="K11" s="35"/>
      <c r="L11" s="36"/>
      <c r="M11" s="36"/>
      <c r="N11" s="36"/>
      <c r="O11" s="2"/>
      <c r="P11" s="2"/>
      <c r="Q11" s="2"/>
      <c r="R11" s="36"/>
      <c r="S11" s="36"/>
      <c r="T11" s="36"/>
      <c r="U11" s="2"/>
      <c r="V11" s="2"/>
      <c r="W11" s="2"/>
    </row>
    <row r="12" spans="1:23" ht="60" customHeight="1" x14ac:dyDescent="0.3">
      <c r="A12" s="5"/>
      <c r="B12" s="5"/>
      <c r="C12" s="5"/>
      <c r="D12" s="5"/>
      <c r="E12" s="3"/>
      <c r="F12" s="34"/>
      <c r="G12" s="34"/>
      <c r="H12" s="34"/>
      <c r="I12" s="34"/>
      <c r="J12" s="35"/>
      <c r="K12" s="35"/>
      <c r="L12" s="36"/>
      <c r="M12" s="36"/>
      <c r="N12" s="36"/>
      <c r="O12" s="2"/>
      <c r="P12" s="2"/>
      <c r="Q12" s="2"/>
      <c r="R12" s="36"/>
      <c r="S12" s="36"/>
      <c r="T12" s="36"/>
      <c r="U12" s="2"/>
      <c r="V12" s="2"/>
      <c r="W12" s="2"/>
    </row>
    <row r="13" spans="1:23" ht="60" customHeight="1" x14ac:dyDescent="0.3">
      <c r="A13" s="5"/>
      <c r="B13" s="5"/>
      <c r="C13" s="5"/>
      <c r="D13" s="5"/>
      <c r="E13" s="3"/>
      <c r="F13" s="32"/>
      <c r="G13" s="32"/>
      <c r="H13" s="32"/>
      <c r="I13" s="32"/>
      <c r="J13" s="33"/>
      <c r="K13" s="33"/>
      <c r="L13" s="32"/>
      <c r="M13" s="32"/>
      <c r="N13" s="32"/>
      <c r="O13" s="3"/>
      <c r="P13" s="3"/>
      <c r="Q13" s="3"/>
      <c r="R13" s="32"/>
      <c r="S13" s="32"/>
      <c r="T13" s="32"/>
      <c r="U13" s="3"/>
      <c r="V13" s="3"/>
      <c r="W13" s="3"/>
    </row>
    <row r="14" spans="1:23" ht="60" customHeight="1" x14ac:dyDescent="0.3">
      <c r="A14" s="5"/>
      <c r="B14" s="5"/>
      <c r="C14" s="5"/>
      <c r="D14" s="5"/>
      <c r="E14" s="3"/>
      <c r="F14" s="34"/>
      <c r="G14" s="34"/>
      <c r="H14" s="34"/>
      <c r="I14" s="34"/>
      <c r="J14" s="35"/>
      <c r="K14" s="35"/>
      <c r="L14" s="36"/>
      <c r="M14" s="36"/>
      <c r="N14" s="36"/>
      <c r="O14" s="2"/>
      <c r="P14" s="2"/>
      <c r="Q14" s="2"/>
      <c r="R14" s="36"/>
      <c r="S14" s="36"/>
      <c r="T14" s="36"/>
      <c r="U14" s="2"/>
      <c r="V14" s="2"/>
      <c r="W14" s="2"/>
    </row>
    <row r="15" spans="1:23" ht="60" customHeight="1" x14ac:dyDescent="0.3">
      <c r="A15" s="5"/>
      <c r="B15" s="5"/>
      <c r="C15" s="5"/>
      <c r="D15" s="5"/>
      <c r="E15" s="3"/>
      <c r="F15" s="34"/>
      <c r="G15" s="34"/>
      <c r="H15" s="34"/>
      <c r="I15" s="34"/>
      <c r="J15" s="35"/>
      <c r="K15" s="35"/>
      <c r="L15" s="36"/>
      <c r="M15" s="36"/>
      <c r="N15" s="36"/>
      <c r="O15" s="2"/>
      <c r="P15" s="2"/>
      <c r="Q15" s="2"/>
      <c r="R15" s="36"/>
      <c r="S15" s="36"/>
      <c r="T15" s="36"/>
      <c r="U15" s="2"/>
      <c r="V15" s="2"/>
      <c r="W15" s="2"/>
    </row>
    <row r="16" spans="1:23" ht="60" customHeight="1" x14ac:dyDescent="0.3">
      <c r="A16" s="5"/>
      <c r="B16" s="5"/>
      <c r="C16" s="5"/>
      <c r="D16" s="5"/>
      <c r="E16" s="3"/>
      <c r="F16" s="34"/>
      <c r="G16" s="34"/>
      <c r="H16" s="34"/>
      <c r="I16" s="34"/>
      <c r="J16" s="35"/>
      <c r="K16" s="35"/>
      <c r="L16" s="36"/>
      <c r="M16" s="36"/>
      <c r="N16" s="36"/>
      <c r="O16" s="2"/>
      <c r="P16" s="2"/>
      <c r="Q16" s="2"/>
      <c r="R16" s="36"/>
      <c r="S16" s="36"/>
      <c r="T16" s="36"/>
      <c r="U16" s="2"/>
      <c r="V16" s="2"/>
      <c r="W16" s="2"/>
    </row>
    <row r="17" spans="1:23" ht="60" customHeight="1" x14ac:dyDescent="0.3">
      <c r="A17" s="5"/>
      <c r="B17" s="5"/>
      <c r="C17" s="5"/>
      <c r="D17" s="5"/>
      <c r="E17" s="3"/>
      <c r="F17" s="34"/>
      <c r="G17" s="34"/>
      <c r="H17" s="34"/>
      <c r="I17" s="34"/>
      <c r="J17" s="35"/>
      <c r="K17" s="35"/>
      <c r="L17" s="36"/>
      <c r="M17" s="36"/>
      <c r="N17" s="36"/>
      <c r="O17" s="2"/>
      <c r="P17" s="2"/>
      <c r="Q17" s="2"/>
      <c r="R17" s="36"/>
      <c r="S17" s="36"/>
      <c r="T17" s="36"/>
      <c r="U17" s="2"/>
      <c r="V17" s="2"/>
      <c r="W17" s="2"/>
    </row>
    <row r="18" spans="1:23" ht="60" customHeight="1" x14ac:dyDescent="0.3">
      <c r="A18" s="5"/>
      <c r="B18" s="5"/>
      <c r="C18" s="5"/>
      <c r="D18" s="5"/>
      <c r="E18" s="3"/>
      <c r="F18" s="32"/>
      <c r="G18" s="32"/>
      <c r="H18" s="32"/>
      <c r="I18" s="32"/>
      <c r="J18" s="33"/>
      <c r="K18" s="33"/>
      <c r="L18" s="32"/>
      <c r="M18" s="32"/>
      <c r="N18" s="32"/>
      <c r="O18" s="3"/>
      <c r="P18" s="3"/>
      <c r="Q18" s="3"/>
      <c r="R18" s="32"/>
      <c r="S18" s="32"/>
      <c r="T18" s="32"/>
      <c r="U18" s="3"/>
      <c r="V18" s="3"/>
      <c r="W18" s="3"/>
    </row>
    <row r="19" spans="1:23" ht="60" customHeight="1" x14ac:dyDescent="0.3">
      <c r="A19" s="5"/>
      <c r="B19" s="5"/>
      <c r="C19" s="5"/>
      <c r="D19" s="5"/>
      <c r="E19" s="3"/>
      <c r="F19" s="32"/>
      <c r="G19" s="32"/>
      <c r="H19" s="32"/>
      <c r="I19" s="32"/>
      <c r="J19" s="33"/>
      <c r="K19" s="33"/>
      <c r="L19" s="32"/>
      <c r="M19" s="32"/>
      <c r="N19" s="32"/>
      <c r="O19" s="3"/>
      <c r="P19" s="3"/>
      <c r="Q19" s="3"/>
      <c r="R19" s="32"/>
      <c r="S19" s="32"/>
      <c r="T19" s="32"/>
      <c r="U19" s="3"/>
      <c r="V19" s="3"/>
      <c r="W19" s="3"/>
    </row>
    <row r="20" spans="1:23" ht="60" customHeight="1" x14ac:dyDescent="0.3">
      <c r="A20" s="5"/>
      <c r="B20" s="5"/>
      <c r="C20" s="5"/>
      <c r="D20" s="5"/>
      <c r="E20" s="3"/>
      <c r="F20" s="34"/>
      <c r="G20" s="34"/>
      <c r="H20" s="34"/>
      <c r="I20" s="34"/>
      <c r="J20" s="35"/>
      <c r="K20" s="35"/>
      <c r="L20" s="36"/>
      <c r="M20" s="36"/>
      <c r="N20" s="36"/>
      <c r="O20" s="2"/>
      <c r="P20" s="2"/>
      <c r="Q20" s="2"/>
      <c r="R20" s="36"/>
      <c r="S20" s="36"/>
      <c r="T20" s="36"/>
      <c r="U20" s="2"/>
      <c r="V20" s="2"/>
      <c r="W20" s="2"/>
    </row>
    <row r="21" spans="1:23" ht="60" customHeight="1" x14ac:dyDescent="0.3">
      <c r="A21" s="5"/>
      <c r="B21" s="5"/>
      <c r="C21" s="5"/>
      <c r="D21" s="5"/>
      <c r="E21" s="3"/>
      <c r="F21" s="34"/>
      <c r="G21" s="34"/>
      <c r="H21" s="34"/>
      <c r="I21" s="34"/>
      <c r="J21" s="35"/>
      <c r="K21" s="35"/>
      <c r="L21" s="36"/>
      <c r="M21" s="36"/>
      <c r="N21" s="36"/>
      <c r="O21" s="2"/>
      <c r="P21" s="2"/>
      <c r="Q21" s="2"/>
      <c r="R21" s="36"/>
      <c r="S21" s="36"/>
      <c r="T21" s="36"/>
      <c r="U21" s="2"/>
      <c r="V21" s="2"/>
      <c r="W21" s="2"/>
    </row>
    <row r="22" spans="1:23" ht="60" customHeight="1" x14ac:dyDescent="0.3">
      <c r="A22" s="5"/>
      <c r="B22" s="5"/>
      <c r="C22" s="5"/>
      <c r="D22" s="5"/>
      <c r="E22" s="3"/>
      <c r="F22" s="32"/>
      <c r="G22" s="32"/>
      <c r="H22" s="32"/>
      <c r="I22" s="32"/>
      <c r="J22" s="33"/>
      <c r="K22" s="33"/>
      <c r="L22" s="32"/>
      <c r="M22" s="32"/>
      <c r="N22" s="32"/>
      <c r="O22" s="3"/>
      <c r="P22" s="3"/>
      <c r="Q22" s="3"/>
      <c r="R22" s="32"/>
      <c r="S22" s="32"/>
      <c r="T22" s="32"/>
      <c r="U22" s="3"/>
      <c r="V22" s="3"/>
      <c r="W22" s="3"/>
    </row>
    <row r="23" spans="1:23" ht="60" customHeight="1" x14ac:dyDescent="0.3">
      <c r="A23" s="5"/>
      <c r="B23" s="5"/>
      <c r="C23" s="5"/>
      <c r="D23" s="5"/>
      <c r="E23" s="3"/>
      <c r="F23" s="34"/>
      <c r="G23" s="34"/>
      <c r="H23" s="34"/>
      <c r="I23" s="34"/>
      <c r="J23" s="35"/>
      <c r="K23" s="35"/>
      <c r="L23" s="36"/>
      <c r="M23" s="36"/>
      <c r="N23" s="36"/>
      <c r="O23" s="2"/>
      <c r="P23" s="2"/>
      <c r="Q23" s="2"/>
      <c r="R23" s="36"/>
      <c r="S23" s="36"/>
      <c r="T23" s="36"/>
      <c r="U23" s="2"/>
      <c r="V23" s="2"/>
      <c r="W23" s="2"/>
    </row>
    <row r="24" spans="1:23" ht="60" customHeight="1" x14ac:dyDescent="0.3">
      <c r="A24" s="5"/>
      <c r="B24" s="5"/>
      <c r="C24" s="5"/>
      <c r="D24" s="5"/>
      <c r="E24" s="3"/>
      <c r="F24" s="34"/>
      <c r="G24" s="34"/>
      <c r="H24" s="34"/>
      <c r="I24" s="34"/>
      <c r="J24" s="35"/>
      <c r="K24" s="35"/>
      <c r="L24" s="36"/>
      <c r="M24" s="36"/>
      <c r="N24" s="36"/>
      <c r="O24" s="2"/>
      <c r="P24" s="2"/>
      <c r="Q24" s="2"/>
      <c r="R24" s="36"/>
      <c r="S24" s="36"/>
      <c r="T24" s="36"/>
      <c r="U24" s="2"/>
      <c r="V24" s="2"/>
      <c r="W24" s="2"/>
    </row>
    <row r="25" spans="1:23" ht="60" customHeight="1" x14ac:dyDescent="0.3">
      <c r="A25" s="5"/>
      <c r="B25" s="5"/>
      <c r="C25" s="5"/>
      <c r="D25" s="5"/>
      <c r="E25" s="3"/>
      <c r="F25" s="34"/>
      <c r="G25" s="34"/>
      <c r="H25" s="34"/>
      <c r="I25" s="34"/>
      <c r="J25" s="35"/>
      <c r="K25" s="35"/>
      <c r="L25" s="36"/>
      <c r="M25" s="36"/>
      <c r="N25" s="36"/>
      <c r="O25" s="2"/>
      <c r="P25" s="2"/>
      <c r="Q25" s="2"/>
      <c r="R25" s="36"/>
      <c r="S25" s="36"/>
      <c r="T25" s="36"/>
      <c r="U25" s="2"/>
      <c r="V25" s="2"/>
      <c r="W25" s="2"/>
    </row>
    <row r="26" spans="1:23" ht="60" customHeight="1" x14ac:dyDescent="0.3">
      <c r="A26" s="5"/>
      <c r="B26" s="5"/>
      <c r="C26" s="5"/>
      <c r="D26" s="5"/>
      <c r="E26" s="3"/>
      <c r="F26" s="34"/>
      <c r="G26" s="34"/>
      <c r="H26" s="34"/>
      <c r="I26" s="34"/>
      <c r="J26" s="35"/>
      <c r="K26" s="35"/>
      <c r="L26" s="36"/>
      <c r="M26" s="36"/>
      <c r="N26" s="36"/>
      <c r="O26" s="2"/>
      <c r="P26" s="2"/>
      <c r="Q26" s="2"/>
      <c r="R26" s="36"/>
      <c r="S26" s="36"/>
      <c r="T26" s="36"/>
      <c r="U26" s="2"/>
      <c r="V26" s="2"/>
      <c r="W26" s="2"/>
    </row>
    <row r="27" spans="1:23" ht="60" customHeight="1" x14ac:dyDescent="0.3">
      <c r="A27" s="5"/>
      <c r="B27" s="5"/>
      <c r="C27" s="5"/>
      <c r="D27" s="5"/>
      <c r="E27" s="3"/>
      <c r="F27" s="32"/>
      <c r="G27" s="32"/>
      <c r="H27" s="32"/>
      <c r="I27" s="32"/>
      <c r="J27" s="33"/>
      <c r="K27" s="33"/>
      <c r="L27" s="32"/>
      <c r="M27" s="32"/>
      <c r="N27" s="32"/>
      <c r="O27" s="3"/>
      <c r="P27" s="3"/>
      <c r="Q27" s="3"/>
      <c r="R27" s="32"/>
      <c r="S27" s="32"/>
      <c r="T27" s="32"/>
      <c r="U27" s="3"/>
      <c r="V27" s="3"/>
      <c r="W27" s="3"/>
    </row>
    <row r="28" spans="1:23" ht="60" customHeight="1" x14ac:dyDescent="0.3">
      <c r="A28" s="5"/>
      <c r="B28" s="5"/>
      <c r="C28" s="5"/>
      <c r="D28" s="5"/>
      <c r="E28" s="3"/>
      <c r="F28" s="34"/>
      <c r="G28" s="34"/>
      <c r="H28" s="34"/>
      <c r="I28" s="34"/>
      <c r="J28" s="35"/>
      <c r="K28" s="35"/>
      <c r="L28" s="36"/>
      <c r="M28" s="36"/>
      <c r="N28" s="36"/>
      <c r="O28" s="2"/>
      <c r="P28" s="2"/>
      <c r="Q28" s="2"/>
      <c r="R28" s="36"/>
      <c r="S28" s="36"/>
      <c r="T28" s="36"/>
      <c r="U28" s="2"/>
      <c r="V28" s="2"/>
      <c r="W28" s="2"/>
    </row>
    <row r="29" spans="1:23" ht="60" customHeight="1" x14ac:dyDescent="0.3">
      <c r="A29" s="5"/>
      <c r="B29" s="5"/>
      <c r="C29" s="5"/>
      <c r="D29" s="5"/>
      <c r="E29" s="3"/>
      <c r="F29" s="34"/>
      <c r="G29" s="34"/>
      <c r="H29" s="34"/>
      <c r="I29" s="34"/>
      <c r="J29" s="35"/>
      <c r="K29" s="35"/>
      <c r="L29" s="36"/>
      <c r="M29" s="36"/>
      <c r="N29" s="36"/>
      <c r="O29" s="2"/>
      <c r="P29" s="2"/>
      <c r="Q29" s="2"/>
      <c r="R29" s="36"/>
      <c r="S29" s="36"/>
      <c r="T29" s="36"/>
      <c r="U29" s="2"/>
      <c r="V29" s="2"/>
      <c r="W29" s="2"/>
    </row>
    <row r="30" spans="1:23" ht="60" customHeight="1" x14ac:dyDescent="0.3">
      <c r="A30" s="5"/>
      <c r="B30" s="5"/>
      <c r="C30" s="5"/>
      <c r="D30" s="5"/>
      <c r="E30" s="3"/>
      <c r="F30" s="32"/>
      <c r="G30" s="32"/>
      <c r="H30" s="32"/>
      <c r="I30" s="32"/>
      <c r="J30" s="33"/>
      <c r="K30" s="33"/>
      <c r="L30" s="32"/>
      <c r="M30" s="32"/>
      <c r="N30" s="32"/>
      <c r="O30" s="3"/>
      <c r="P30" s="3"/>
      <c r="Q30" s="3"/>
      <c r="R30" s="32"/>
      <c r="S30" s="32"/>
      <c r="T30" s="32"/>
      <c r="U30" s="3"/>
      <c r="V30" s="3"/>
      <c r="W30" s="3"/>
    </row>
    <row r="31" spans="1:23" ht="60" customHeight="1" x14ac:dyDescent="0.3">
      <c r="A31" s="5"/>
      <c r="B31" s="5"/>
      <c r="C31" s="5"/>
      <c r="D31" s="5"/>
      <c r="E31" s="3"/>
      <c r="F31" s="34"/>
      <c r="G31" s="34"/>
      <c r="H31" s="34"/>
      <c r="I31" s="34"/>
      <c r="J31" s="35"/>
      <c r="K31" s="35"/>
      <c r="L31" s="36"/>
      <c r="M31" s="36"/>
      <c r="N31" s="36"/>
      <c r="O31" s="2"/>
      <c r="P31" s="2"/>
      <c r="Q31" s="2"/>
      <c r="R31" s="36"/>
      <c r="S31" s="36"/>
      <c r="T31" s="36"/>
      <c r="U31" s="2"/>
      <c r="V31" s="2"/>
      <c r="W31" s="2"/>
    </row>
    <row r="32" spans="1:23" ht="60" customHeight="1" x14ac:dyDescent="0.3">
      <c r="A32" s="5"/>
      <c r="B32" s="5"/>
      <c r="C32" s="5"/>
      <c r="D32" s="5"/>
      <c r="E32" s="3"/>
      <c r="F32" s="34"/>
      <c r="G32" s="34"/>
      <c r="H32" s="34"/>
      <c r="I32" s="34"/>
      <c r="J32" s="35"/>
      <c r="K32" s="35"/>
      <c r="L32" s="36"/>
      <c r="M32" s="36"/>
      <c r="N32" s="36"/>
      <c r="O32" s="2"/>
      <c r="P32" s="2"/>
      <c r="Q32" s="2"/>
      <c r="R32" s="36"/>
      <c r="S32" s="36"/>
      <c r="T32" s="36"/>
      <c r="U32" s="2"/>
      <c r="V32" s="2"/>
      <c r="W32" s="2"/>
    </row>
    <row r="33" spans="1:23" ht="60" customHeight="1" x14ac:dyDescent="0.3">
      <c r="A33" s="5"/>
      <c r="B33" s="5"/>
      <c r="C33" s="5"/>
      <c r="D33" s="5"/>
      <c r="E33" s="3"/>
      <c r="F33" s="32"/>
      <c r="G33" s="32"/>
      <c r="H33" s="32"/>
      <c r="I33" s="32"/>
      <c r="J33" s="33"/>
      <c r="K33" s="33"/>
      <c r="L33" s="32"/>
      <c r="M33" s="32"/>
      <c r="N33" s="32"/>
      <c r="O33" s="3"/>
      <c r="P33" s="3"/>
      <c r="Q33" s="3"/>
      <c r="R33" s="32"/>
      <c r="S33" s="32"/>
      <c r="T33" s="32"/>
      <c r="U33" s="3"/>
      <c r="V33" s="3"/>
      <c r="W33" s="3"/>
    </row>
    <row r="34" spans="1:23" ht="60" customHeight="1" x14ac:dyDescent="0.3">
      <c r="A34" s="5"/>
      <c r="B34" s="5"/>
      <c r="C34" s="5"/>
      <c r="D34" s="5"/>
      <c r="E34" s="3"/>
      <c r="F34" s="34"/>
      <c r="G34" s="34"/>
      <c r="H34" s="34"/>
      <c r="I34" s="34"/>
      <c r="J34" s="35"/>
      <c r="K34" s="35"/>
      <c r="L34" s="36"/>
      <c r="M34" s="36"/>
      <c r="N34" s="36"/>
      <c r="O34" s="2"/>
      <c r="P34" s="2"/>
      <c r="Q34" s="2"/>
      <c r="R34" s="36"/>
      <c r="S34" s="36"/>
      <c r="T34" s="36"/>
      <c r="U34" s="2"/>
      <c r="V34" s="2"/>
      <c r="W34" s="2"/>
    </row>
    <row r="35" spans="1:23" ht="60" customHeight="1" x14ac:dyDescent="0.3">
      <c r="A35" s="5"/>
      <c r="B35" s="5"/>
      <c r="C35" s="5"/>
      <c r="D35" s="5"/>
      <c r="E35" s="3"/>
      <c r="F35" s="34"/>
      <c r="G35" s="34"/>
      <c r="H35" s="34"/>
      <c r="I35" s="34"/>
      <c r="J35" s="35"/>
      <c r="K35" s="35"/>
      <c r="L35" s="36"/>
      <c r="M35" s="36"/>
      <c r="N35" s="36"/>
      <c r="O35" s="2"/>
      <c r="P35" s="2"/>
      <c r="Q35" s="2"/>
      <c r="R35" s="36"/>
      <c r="S35" s="36"/>
      <c r="T35" s="36"/>
      <c r="U35" s="2"/>
      <c r="V35" s="2"/>
      <c r="W35" s="2"/>
    </row>
    <row r="36" spans="1:23" ht="60" customHeight="1" x14ac:dyDescent="0.3">
      <c r="A36" s="5"/>
      <c r="B36" s="5"/>
      <c r="C36" s="5"/>
      <c r="D36" s="5"/>
      <c r="E36" s="3"/>
      <c r="F36" s="34"/>
      <c r="G36" s="34"/>
      <c r="H36" s="34"/>
      <c r="I36" s="34"/>
      <c r="J36" s="35"/>
      <c r="K36" s="35"/>
      <c r="L36" s="36"/>
      <c r="M36" s="36"/>
      <c r="N36" s="36"/>
      <c r="O36" s="2"/>
      <c r="P36" s="2"/>
      <c r="Q36" s="2"/>
      <c r="R36" s="36"/>
      <c r="S36" s="36"/>
      <c r="T36" s="36"/>
      <c r="U36" s="2"/>
      <c r="V36" s="2"/>
      <c r="W36" s="2"/>
    </row>
    <row r="37" spans="1:23" ht="60" customHeight="1" x14ac:dyDescent="0.3">
      <c r="A37" s="5"/>
      <c r="B37" s="5"/>
      <c r="C37" s="5"/>
      <c r="D37" s="5"/>
      <c r="E37" s="3"/>
      <c r="F37" s="34"/>
      <c r="G37" s="34"/>
      <c r="H37" s="34"/>
      <c r="I37" s="34"/>
      <c r="J37" s="35"/>
      <c r="K37" s="35"/>
      <c r="L37" s="36"/>
      <c r="M37" s="36"/>
      <c r="N37" s="36"/>
      <c r="O37" s="2"/>
      <c r="P37" s="2"/>
      <c r="Q37" s="2"/>
      <c r="R37" s="36"/>
      <c r="S37" s="36"/>
      <c r="T37" s="36"/>
      <c r="U37" s="2"/>
      <c r="V37" s="2"/>
      <c r="W37" s="2"/>
    </row>
    <row r="38" spans="1:23" ht="60" customHeight="1" x14ac:dyDescent="0.3">
      <c r="A38" s="5"/>
      <c r="B38" s="5"/>
      <c r="C38" s="5"/>
      <c r="D38" s="5"/>
      <c r="E38" s="3"/>
      <c r="F38" s="32"/>
      <c r="G38" s="32"/>
      <c r="H38" s="32"/>
      <c r="I38" s="32"/>
      <c r="J38" s="33"/>
      <c r="K38" s="33"/>
      <c r="L38" s="32"/>
      <c r="M38" s="32"/>
      <c r="N38" s="32"/>
      <c r="O38" s="3"/>
      <c r="P38" s="3"/>
      <c r="Q38" s="3"/>
      <c r="R38" s="32"/>
      <c r="S38" s="32"/>
      <c r="T38" s="32"/>
      <c r="U38" s="3"/>
      <c r="V38" s="3"/>
      <c r="W38" s="3"/>
    </row>
    <row r="39" spans="1:23" ht="60" customHeight="1" x14ac:dyDescent="0.3">
      <c r="A39" s="5"/>
      <c r="B39" s="5"/>
      <c r="C39" s="5"/>
      <c r="D39" s="5"/>
      <c r="E39" s="3"/>
      <c r="F39" s="34"/>
      <c r="G39" s="34"/>
      <c r="H39" s="34"/>
      <c r="I39" s="34"/>
      <c r="J39" s="35"/>
      <c r="K39" s="35"/>
      <c r="L39" s="36"/>
      <c r="M39" s="36"/>
      <c r="N39" s="36"/>
      <c r="O39" s="2"/>
      <c r="P39" s="2"/>
      <c r="Q39" s="2"/>
      <c r="R39" s="36"/>
      <c r="S39" s="36"/>
      <c r="T39" s="36"/>
      <c r="U39" s="2"/>
      <c r="V39" s="2"/>
      <c r="W39" s="2"/>
    </row>
    <row r="40" spans="1:23" ht="60" customHeight="1" x14ac:dyDescent="0.3">
      <c r="A40" s="5"/>
      <c r="B40" s="5"/>
      <c r="C40" s="5"/>
      <c r="D40" s="5"/>
      <c r="E40" s="3"/>
      <c r="F40" s="34"/>
      <c r="G40" s="34"/>
      <c r="H40" s="34"/>
      <c r="I40" s="34"/>
      <c r="J40" s="35"/>
      <c r="K40" s="35"/>
      <c r="L40" s="36"/>
      <c r="M40" s="36"/>
      <c r="N40" s="36"/>
      <c r="O40" s="2"/>
      <c r="P40" s="2"/>
      <c r="Q40" s="2"/>
      <c r="R40" s="36"/>
      <c r="S40" s="36"/>
      <c r="T40" s="36"/>
      <c r="U40" s="2"/>
      <c r="V40" s="2"/>
      <c r="W40" s="2"/>
    </row>
    <row r="41" spans="1:23" ht="60" customHeight="1" x14ac:dyDescent="0.3">
      <c r="A41" s="5"/>
      <c r="B41" s="5"/>
      <c r="C41" s="5"/>
      <c r="D41" s="5"/>
      <c r="E41" s="3"/>
      <c r="F41" s="32"/>
      <c r="G41" s="32"/>
      <c r="H41" s="32"/>
      <c r="I41" s="32"/>
      <c r="J41" s="33"/>
      <c r="K41" s="33"/>
      <c r="L41" s="32"/>
      <c r="M41" s="32"/>
      <c r="N41" s="32"/>
      <c r="O41" s="3"/>
      <c r="P41" s="3"/>
      <c r="Q41" s="3"/>
      <c r="R41" s="32"/>
      <c r="S41" s="32"/>
      <c r="T41" s="32"/>
      <c r="U41" s="3"/>
      <c r="V41" s="3"/>
      <c r="W41" s="3"/>
    </row>
    <row r="42" spans="1:23" ht="60" customHeight="1" x14ac:dyDescent="0.3">
      <c r="A42" s="5"/>
      <c r="B42" s="5"/>
      <c r="C42" s="5"/>
      <c r="D42" s="5"/>
      <c r="E42" s="3"/>
      <c r="F42" s="34"/>
      <c r="G42" s="34"/>
      <c r="H42" s="34"/>
      <c r="I42" s="34"/>
      <c r="J42" s="35"/>
      <c r="K42" s="35"/>
      <c r="L42" s="36"/>
      <c r="M42" s="36"/>
      <c r="N42" s="36"/>
      <c r="O42" s="2"/>
      <c r="P42" s="2"/>
      <c r="Q42" s="2"/>
      <c r="R42" s="36"/>
      <c r="S42" s="36"/>
      <c r="T42" s="36"/>
      <c r="U42" s="2"/>
      <c r="V42" s="2"/>
      <c r="W42" s="2"/>
    </row>
    <row r="43" spans="1:23" ht="60" customHeight="1" x14ac:dyDescent="0.3">
      <c r="A43" s="5"/>
      <c r="B43" s="5"/>
      <c r="C43" s="5"/>
      <c r="D43" s="5"/>
      <c r="E43" s="3"/>
      <c r="F43" s="34"/>
      <c r="G43" s="34"/>
      <c r="H43" s="34"/>
      <c r="I43" s="34"/>
      <c r="J43" s="35"/>
      <c r="K43" s="35"/>
      <c r="L43" s="36"/>
      <c r="M43" s="36"/>
      <c r="N43" s="36"/>
      <c r="O43" s="2"/>
      <c r="P43" s="2"/>
      <c r="Q43" s="2"/>
      <c r="R43" s="36"/>
      <c r="S43" s="36"/>
      <c r="T43" s="36"/>
      <c r="U43" s="2"/>
      <c r="V43" s="2"/>
      <c r="W43" s="2"/>
    </row>
    <row r="44" spans="1:23" ht="60" customHeight="1" x14ac:dyDescent="0.3">
      <c r="A44" s="5"/>
      <c r="B44" s="5"/>
      <c r="C44" s="5"/>
      <c r="D44" s="5"/>
      <c r="E44" s="3"/>
      <c r="F44" s="34"/>
      <c r="G44" s="34"/>
      <c r="H44" s="34"/>
      <c r="I44" s="34"/>
      <c r="J44" s="35"/>
      <c r="K44" s="35"/>
      <c r="L44" s="36"/>
      <c r="M44" s="36"/>
      <c r="N44" s="36"/>
      <c r="O44" s="2"/>
      <c r="P44" s="2"/>
      <c r="Q44" s="2"/>
      <c r="R44" s="36"/>
      <c r="S44" s="36"/>
      <c r="T44" s="36"/>
      <c r="U44" s="2"/>
      <c r="V44" s="2"/>
      <c r="W44" s="2"/>
    </row>
    <row r="127" spans="9:9" x14ac:dyDescent="0.3">
      <c r="I127" t="s">
        <v>10</v>
      </c>
    </row>
  </sheetData>
  <mergeCells count="166">
    <mergeCell ref="F25:I25"/>
    <mergeCell ref="J25:K25"/>
    <mergeCell ref="L25:N25"/>
    <mergeCell ref="R25:T25"/>
    <mergeCell ref="F26:I26"/>
    <mergeCell ref="J26:K26"/>
    <mergeCell ref="L26:N26"/>
    <mergeCell ref="R26:T26"/>
    <mergeCell ref="F23:I23"/>
    <mergeCell ref="J23:K23"/>
    <mergeCell ref="L23:N23"/>
    <mergeCell ref="R23:T23"/>
    <mergeCell ref="F24:I24"/>
    <mergeCell ref="J24:K24"/>
    <mergeCell ref="L24:N24"/>
    <mergeCell ref="R24:T24"/>
    <mergeCell ref="J21:K21"/>
    <mergeCell ref="L21:N21"/>
    <mergeCell ref="R21:T21"/>
    <mergeCell ref="F22:I22"/>
    <mergeCell ref="J22:K22"/>
    <mergeCell ref="L22:N22"/>
    <mergeCell ref="R22:T22"/>
    <mergeCell ref="R19:T19"/>
    <mergeCell ref="F20:I20"/>
    <mergeCell ref="J20:K20"/>
    <mergeCell ref="L20:N20"/>
    <mergeCell ref="R20:T20"/>
    <mergeCell ref="F44:I44"/>
    <mergeCell ref="J44:K44"/>
    <mergeCell ref="L44:N44"/>
    <mergeCell ref="R44:T44"/>
    <mergeCell ref="F31:I31"/>
    <mergeCell ref="J31:K31"/>
    <mergeCell ref="L31:N31"/>
    <mergeCell ref="R31:T31"/>
    <mergeCell ref="F43:I43"/>
    <mergeCell ref="J43:K43"/>
    <mergeCell ref="L43:N43"/>
    <mergeCell ref="R43:T43"/>
    <mergeCell ref="F32:I32"/>
    <mergeCell ref="J32:K32"/>
    <mergeCell ref="L32:N32"/>
    <mergeCell ref="R32:T32"/>
    <mergeCell ref="F33:I33"/>
    <mergeCell ref="J33:K33"/>
    <mergeCell ref="L33:N33"/>
    <mergeCell ref="R33:T33"/>
    <mergeCell ref="F34:I34"/>
    <mergeCell ref="J34:K34"/>
    <mergeCell ref="L34:N34"/>
    <mergeCell ref="R34:T34"/>
    <mergeCell ref="F29:I29"/>
    <mergeCell ref="J29:K29"/>
    <mergeCell ref="L29:N29"/>
    <mergeCell ref="R29:T29"/>
    <mergeCell ref="F30:I30"/>
    <mergeCell ref="J30:K30"/>
    <mergeCell ref="L30:N30"/>
    <mergeCell ref="R30:T30"/>
    <mergeCell ref="F18:I18"/>
    <mergeCell ref="J18:K18"/>
    <mergeCell ref="L18:N18"/>
    <mergeCell ref="R18:T18"/>
    <mergeCell ref="F27:I27"/>
    <mergeCell ref="J27:K27"/>
    <mergeCell ref="L27:N27"/>
    <mergeCell ref="R27:T27"/>
    <mergeCell ref="F28:I28"/>
    <mergeCell ref="J28:K28"/>
    <mergeCell ref="L28:N28"/>
    <mergeCell ref="R28:T28"/>
    <mergeCell ref="F19:I19"/>
    <mergeCell ref="J19:K19"/>
    <mergeCell ref="L19:N19"/>
    <mergeCell ref="F21:I21"/>
    <mergeCell ref="U6:W6"/>
    <mergeCell ref="R2:S5"/>
    <mergeCell ref="T3:T5"/>
    <mergeCell ref="F2:Q5"/>
    <mergeCell ref="U2:W2"/>
    <mergeCell ref="U3:W5"/>
    <mergeCell ref="R6:T8"/>
    <mergeCell ref="R9:T9"/>
    <mergeCell ref="R10:T10"/>
    <mergeCell ref="L9:N9"/>
    <mergeCell ref="L10:N10"/>
    <mergeCell ref="J9:K9"/>
    <mergeCell ref="F9:I9"/>
    <mergeCell ref="F10:I10"/>
    <mergeCell ref="R12:T12"/>
    <mergeCell ref="J13:K13"/>
    <mergeCell ref="L13:N13"/>
    <mergeCell ref="R13:T13"/>
    <mergeCell ref="R16:T16"/>
    <mergeCell ref="J10:K10"/>
    <mergeCell ref="F13:I13"/>
    <mergeCell ref="R11:T11"/>
    <mergeCell ref="J12:K12"/>
    <mergeCell ref="L12:N12"/>
    <mergeCell ref="L11:N11"/>
    <mergeCell ref="F12:I12"/>
    <mergeCell ref="F11:I11"/>
    <mergeCell ref="J11:K11"/>
    <mergeCell ref="A1:T1"/>
    <mergeCell ref="O6:Q6"/>
    <mergeCell ref="B6:D6"/>
    <mergeCell ref="A6:A8"/>
    <mergeCell ref="F6:I8"/>
    <mergeCell ref="J6:K8"/>
    <mergeCell ref="L6:N8"/>
    <mergeCell ref="B7:B8"/>
    <mergeCell ref="C7:C8"/>
    <mergeCell ref="D7:D8"/>
    <mergeCell ref="B2:E2"/>
    <mergeCell ref="B3:E3"/>
    <mergeCell ref="B4:E4"/>
    <mergeCell ref="B5:E5"/>
    <mergeCell ref="E6:E8"/>
    <mergeCell ref="L17:N17"/>
    <mergeCell ref="R17:T17"/>
    <mergeCell ref="F14:I14"/>
    <mergeCell ref="J14:K14"/>
    <mergeCell ref="L14:N14"/>
    <mergeCell ref="R14:T14"/>
    <mergeCell ref="F15:I15"/>
    <mergeCell ref="J15:K15"/>
    <mergeCell ref="L15:N15"/>
    <mergeCell ref="R15:T15"/>
    <mergeCell ref="F16:I16"/>
    <mergeCell ref="J16:K16"/>
    <mergeCell ref="L16:N16"/>
    <mergeCell ref="F17:I17"/>
    <mergeCell ref="J17:K17"/>
    <mergeCell ref="F35:I35"/>
    <mergeCell ref="J35:K35"/>
    <mergeCell ref="L35:N35"/>
    <mergeCell ref="R35:T35"/>
    <mergeCell ref="F36:I36"/>
    <mergeCell ref="J36:K36"/>
    <mergeCell ref="L36:N36"/>
    <mergeCell ref="R36:T36"/>
    <mergeCell ref="F37:I37"/>
    <mergeCell ref="J37:K37"/>
    <mergeCell ref="L37:N37"/>
    <mergeCell ref="R37:T37"/>
    <mergeCell ref="F41:I41"/>
    <mergeCell ref="J41:K41"/>
    <mergeCell ref="L41:N41"/>
    <mergeCell ref="R41:T41"/>
    <mergeCell ref="F42:I42"/>
    <mergeCell ref="J42:K42"/>
    <mergeCell ref="L42:N42"/>
    <mergeCell ref="R42:T42"/>
    <mergeCell ref="F38:I38"/>
    <mergeCell ref="J38:K38"/>
    <mergeCell ref="L38:N38"/>
    <mergeCell ref="R38:T38"/>
    <mergeCell ref="F39:I39"/>
    <mergeCell ref="J39:K39"/>
    <mergeCell ref="L39:N39"/>
    <mergeCell ref="R39:T39"/>
    <mergeCell ref="F40:I40"/>
    <mergeCell ref="J40:K40"/>
    <mergeCell ref="L40:N40"/>
    <mergeCell ref="R40:T40"/>
  </mergeCells>
  <phoneticPr fontId="4" type="noConversion"/>
  <conditionalFormatting sqref="Q9:Q44 W9:W44">
    <cfRule type="cellIs" dxfId="44" priority="1" operator="between">
      <formula>15</formula>
      <formula>20</formula>
    </cfRule>
    <cfRule type="cellIs" dxfId="43" priority="2" operator="between">
      <formula>9</formula>
      <formula>12</formula>
    </cfRule>
    <cfRule type="cellIs" dxfId="42" priority="3" operator="equal">
      <formula>8</formula>
    </cfRule>
  </conditionalFormatting>
  <pageMargins left="0.23622047244094491" right="0.23622047244094491" top="0.74803149606299213" bottom="0.74803149606299213" header="0.31496062992125984" footer="0.31496062992125984"/>
  <pageSetup paperSize="9" scale="50" orientation="landscape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00000000-0002-0000-0100-000000000000}">
          <x14:formula1>
            <xm:f>데이터필드!$D$6:$D$9</xm:f>
          </x14:formula1>
          <xm:sqref>U11:U44 O11:O44</xm:sqref>
        </x14:dataValidation>
        <x14:dataValidation type="list" allowBlank="1" showInputMessage="1" showErrorMessage="1" xr:uid="{00000000-0002-0000-0100-000001000000}">
          <x14:formula1>
            <xm:f>데이터필드!$E$6:$E$10</xm:f>
          </x14:formula1>
          <xm:sqref>V11:V44 P11:P44</xm:sqref>
        </x14:dataValidation>
        <x14:dataValidation type="list" allowBlank="1" showInputMessage="1" showErrorMessage="1" xr:uid="{00000000-0002-0000-0100-000002000000}">
          <x14:formula1>
            <xm:f>데이터필드!$B$6:$B$22</xm:f>
          </x14:formula1>
          <xm:sqref>J11:K44</xm:sqref>
        </x14:dataValidation>
        <x14:dataValidation type="list" allowBlank="1" showInputMessage="1" showErrorMessage="1" xr:uid="{00000000-0002-0000-0100-000003000000}">
          <x14:formula1>
            <xm:f>데이터필드!$J$6:$J$19</xm:f>
          </x14:formula1>
          <xm:sqref>D11:D44</xm:sqref>
        </x14:dataValidation>
        <x14:dataValidation type="list" allowBlank="1" showInputMessage="1" showErrorMessage="1" xr:uid="{00000000-0002-0000-0100-000004000000}">
          <x14:formula1>
            <xm:f>'D:\Desktop\위험성평가\붙임1. 유해위험요인 분류표 및 위험성평가표(23년 네오트랜스)\협력사\윌앤비전\[유해위험요인 분류표 및 위험성평가표_윌앤비전(기지)_2024.xlsx]데이터필드'!#REF!</xm:f>
          </x14:formula1>
          <xm:sqref>D9 O9:P9 U9:V9 J9:K9</xm:sqref>
        </x14:dataValidation>
        <x14:dataValidation type="list" allowBlank="1" showInputMessage="1" showErrorMessage="1" xr:uid="{00000000-0002-0000-0100-000005000000}">
          <x14:formula1>
            <xm:f>'D:\Desktop\위험성평가 사전검토\시설팀\[위험성평가표_시설(본사, 기지)_2025.xlsx]데이터필드'!#REF!</xm:f>
          </x14:formula1>
          <xm:sqref>D10 O10:P10 U10:V10</xm:sqref>
        </x14:dataValidation>
        <x14:dataValidation type="list" allowBlank="1" showInputMessage="1" showErrorMessage="1" xr:uid="{00000000-0002-0000-0100-000006000000}">
          <x14:formula1>
            <xm:f>'D:\0\8.위험성평가\25년도\위험성평가(부서별)_24년도 정기,수시 최종 반영\네오\시설\[위험성평가표_시설(시설관리)_2024.xlsx]데이터필드'!#REF!</xm:f>
          </x14:formula1>
          <xm:sqref>J10:K10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 tint="-0.249977111117893"/>
  </sheetPr>
  <dimension ref="A1:W123"/>
  <sheetViews>
    <sheetView view="pageBreakPreview" zoomScale="85" zoomScaleNormal="100" zoomScaleSheetLayoutView="85" workbookViewId="0">
      <pane ySplit="8" topLeftCell="A9" activePane="bottomLeft" state="frozen"/>
      <selection activeCell="D14" sqref="D14"/>
      <selection pane="bottomLeft" activeCell="D14" sqref="D14"/>
    </sheetView>
  </sheetViews>
  <sheetFormatPr defaultRowHeight="16.5" x14ac:dyDescent="0.3"/>
  <cols>
    <col min="1" max="1" width="15.625" customWidth="1"/>
    <col min="2" max="4" width="13.625" customWidth="1"/>
    <col min="5" max="5" width="13.625" style="9" customWidth="1"/>
    <col min="6" max="9" width="13.625" customWidth="1"/>
    <col min="10" max="11" width="5.625" customWidth="1"/>
    <col min="12" max="14" width="13.625" customWidth="1"/>
    <col min="15" max="17" width="7.625" customWidth="1"/>
    <col min="18" max="19" width="9.625" customWidth="1"/>
    <col min="20" max="23" width="10.625" customWidth="1"/>
  </cols>
  <sheetData>
    <row r="1" spans="1:23" ht="30" customHeight="1" x14ac:dyDescent="0.3">
      <c r="A1" s="37" t="s">
        <v>2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4"/>
      <c r="V1" s="4"/>
      <c r="W1" s="4"/>
    </row>
    <row r="2" spans="1:23" ht="39.950000000000003" customHeight="1" x14ac:dyDescent="0.3">
      <c r="A2" s="13" t="s">
        <v>16</v>
      </c>
      <c r="B2" s="58" t="s">
        <v>88</v>
      </c>
      <c r="C2" s="59"/>
      <c r="D2" s="59"/>
      <c r="E2" s="60"/>
      <c r="F2" s="73" t="s">
        <v>4</v>
      </c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4" t="s">
        <v>24</v>
      </c>
      <c r="S2" s="75"/>
      <c r="T2" s="14" t="s">
        <v>22</v>
      </c>
      <c r="U2" s="71"/>
      <c r="V2" s="71"/>
      <c r="W2" s="71"/>
    </row>
    <row r="3" spans="1:23" ht="30" customHeight="1" x14ac:dyDescent="0.3">
      <c r="A3" s="13" t="s">
        <v>18</v>
      </c>
      <c r="B3" s="58" t="s">
        <v>130</v>
      </c>
      <c r="C3" s="59"/>
      <c r="D3" s="59"/>
      <c r="E3" s="60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6"/>
      <c r="S3" s="77"/>
      <c r="T3" s="71" t="s">
        <v>23</v>
      </c>
      <c r="U3" s="71" t="s">
        <v>123</v>
      </c>
      <c r="V3" s="71"/>
      <c r="W3" s="71"/>
    </row>
    <row r="4" spans="1:23" ht="30" customHeight="1" x14ac:dyDescent="0.3">
      <c r="A4" s="13" t="s">
        <v>19</v>
      </c>
      <c r="B4" s="58" t="s">
        <v>92</v>
      </c>
      <c r="C4" s="59"/>
      <c r="D4" s="59"/>
      <c r="E4" s="60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6"/>
      <c r="S4" s="77"/>
      <c r="T4" s="71"/>
      <c r="U4" s="71"/>
      <c r="V4" s="71"/>
      <c r="W4" s="71"/>
    </row>
    <row r="5" spans="1:23" ht="30" customHeight="1" x14ac:dyDescent="0.3">
      <c r="A5" s="13" t="s">
        <v>0</v>
      </c>
      <c r="B5" s="58" t="s">
        <v>133</v>
      </c>
      <c r="C5" s="59"/>
      <c r="D5" s="59"/>
      <c r="E5" s="60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8"/>
      <c r="S5" s="79"/>
      <c r="T5" s="71"/>
      <c r="U5" s="71"/>
      <c r="V5" s="71"/>
      <c r="W5" s="71"/>
    </row>
    <row r="6" spans="1:23" ht="39.950000000000003" customHeight="1" x14ac:dyDescent="0.3">
      <c r="A6" s="88" t="s">
        <v>20</v>
      </c>
      <c r="B6" s="58" t="s">
        <v>11</v>
      </c>
      <c r="C6" s="59"/>
      <c r="D6" s="60"/>
      <c r="E6" s="88" t="s">
        <v>81</v>
      </c>
      <c r="F6" s="91" t="s">
        <v>82</v>
      </c>
      <c r="G6" s="83"/>
      <c r="H6" s="83"/>
      <c r="I6" s="92"/>
      <c r="J6" s="91" t="s">
        <v>5</v>
      </c>
      <c r="K6" s="92"/>
      <c r="L6" s="91" t="s">
        <v>15</v>
      </c>
      <c r="M6" s="83"/>
      <c r="N6" s="83"/>
      <c r="O6" s="80" t="s">
        <v>8</v>
      </c>
      <c r="P6" s="81"/>
      <c r="Q6" s="82"/>
      <c r="R6" s="83" t="s">
        <v>3</v>
      </c>
      <c r="S6" s="83"/>
      <c r="T6" s="83"/>
      <c r="U6" s="80" t="s">
        <v>21</v>
      </c>
      <c r="V6" s="81"/>
      <c r="W6" s="82"/>
    </row>
    <row r="7" spans="1:23" ht="30" customHeight="1" x14ac:dyDescent="0.3">
      <c r="A7" s="90"/>
      <c r="B7" s="86" t="s">
        <v>12</v>
      </c>
      <c r="C7" s="88" t="s">
        <v>13</v>
      </c>
      <c r="D7" s="86" t="s">
        <v>14</v>
      </c>
      <c r="E7" s="90"/>
      <c r="F7" s="93"/>
      <c r="G7" s="84"/>
      <c r="H7" s="84"/>
      <c r="I7" s="94"/>
      <c r="J7" s="93"/>
      <c r="K7" s="94"/>
      <c r="L7" s="93"/>
      <c r="M7" s="84"/>
      <c r="N7" s="84"/>
      <c r="O7" s="15" t="s">
        <v>6</v>
      </c>
      <c r="P7" s="15" t="s">
        <v>7</v>
      </c>
      <c r="Q7" s="15" t="s">
        <v>25</v>
      </c>
      <c r="R7" s="84"/>
      <c r="S7" s="84"/>
      <c r="T7" s="84"/>
      <c r="U7" s="15" t="s">
        <v>6</v>
      </c>
      <c r="V7" s="15" t="s">
        <v>7</v>
      </c>
      <c r="W7" s="15" t="s">
        <v>1</v>
      </c>
    </row>
    <row r="8" spans="1:23" ht="30" customHeight="1" x14ac:dyDescent="0.3">
      <c r="A8" s="89"/>
      <c r="B8" s="87"/>
      <c r="C8" s="89"/>
      <c r="D8" s="87"/>
      <c r="E8" s="89"/>
      <c r="F8" s="95"/>
      <c r="G8" s="85"/>
      <c r="H8" s="85"/>
      <c r="I8" s="96"/>
      <c r="J8" s="95"/>
      <c r="K8" s="96"/>
      <c r="L8" s="95"/>
      <c r="M8" s="85"/>
      <c r="N8" s="85"/>
      <c r="O8" s="16" t="s">
        <v>26</v>
      </c>
      <c r="P8" s="16" t="s">
        <v>27</v>
      </c>
      <c r="Q8" s="16" t="s">
        <v>28</v>
      </c>
      <c r="R8" s="85"/>
      <c r="S8" s="85"/>
      <c r="T8" s="85"/>
      <c r="U8" s="16" t="s">
        <v>26</v>
      </c>
      <c r="V8" s="16" t="s">
        <v>27</v>
      </c>
      <c r="W8" s="16" t="s">
        <v>28</v>
      </c>
    </row>
    <row r="9" spans="1:23" ht="60" customHeight="1" x14ac:dyDescent="0.3">
      <c r="A9" s="10" t="s">
        <v>98</v>
      </c>
      <c r="B9" s="11"/>
      <c r="C9" s="11"/>
      <c r="D9" s="11"/>
      <c r="E9" s="24" t="s">
        <v>132</v>
      </c>
      <c r="F9" s="72" t="s">
        <v>93</v>
      </c>
      <c r="G9" s="72"/>
      <c r="H9" s="72"/>
      <c r="I9" s="72"/>
      <c r="J9" s="71" t="s">
        <v>84</v>
      </c>
      <c r="K9" s="71"/>
      <c r="L9" s="72" t="s">
        <v>115</v>
      </c>
      <c r="M9" s="72"/>
      <c r="N9" s="72"/>
      <c r="O9" s="24">
        <v>2</v>
      </c>
      <c r="P9" s="24">
        <v>2</v>
      </c>
      <c r="Q9" s="24">
        <f>O9*P9</f>
        <v>4</v>
      </c>
      <c r="R9" s="72"/>
      <c r="S9" s="72"/>
      <c r="T9" s="72"/>
      <c r="U9" s="24"/>
      <c r="V9" s="24"/>
      <c r="W9" s="24"/>
    </row>
    <row r="10" spans="1:23" ht="60" customHeight="1" x14ac:dyDescent="0.3">
      <c r="A10" s="10" t="s">
        <v>98</v>
      </c>
      <c r="B10" s="11"/>
      <c r="C10" s="11"/>
      <c r="D10" s="11"/>
      <c r="E10" s="24" t="s">
        <v>132</v>
      </c>
      <c r="F10" s="72" t="s">
        <v>94</v>
      </c>
      <c r="G10" s="72"/>
      <c r="H10" s="72"/>
      <c r="I10" s="72"/>
      <c r="J10" s="71" t="s">
        <v>85</v>
      </c>
      <c r="K10" s="71"/>
      <c r="L10" s="72" t="s">
        <v>116</v>
      </c>
      <c r="M10" s="72"/>
      <c r="N10" s="72"/>
      <c r="O10" s="24">
        <v>2</v>
      </c>
      <c r="P10" s="24">
        <v>1</v>
      </c>
      <c r="Q10" s="24">
        <f t="shared" ref="Q10" si="0">O10*P10</f>
        <v>2</v>
      </c>
      <c r="R10" s="72"/>
      <c r="S10" s="72"/>
      <c r="T10" s="72"/>
      <c r="U10" s="24"/>
      <c r="V10" s="24"/>
      <c r="W10" s="24"/>
    </row>
    <row r="11" spans="1:23" ht="60" customHeight="1" x14ac:dyDescent="0.3">
      <c r="A11" s="10" t="s">
        <v>98</v>
      </c>
      <c r="B11" s="11"/>
      <c r="C11" s="11"/>
      <c r="D11" s="11"/>
      <c r="E11" s="24" t="s">
        <v>132</v>
      </c>
      <c r="F11" s="72" t="s">
        <v>134</v>
      </c>
      <c r="G11" s="72"/>
      <c r="H11" s="72"/>
      <c r="I11" s="72"/>
      <c r="J11" s="35" t="s">
        <v>135</v>
      </c>
      <c r="K11" s="35"/>
      <c r="L11" s="72" t="s">
        <v>117</v>
      </c>
      <c r="M11" s="72"/>
      <c r="N11" s="72"/>
      <c r="O11" s="24">
        <v>4</v>
      </c>
      <c r="P11" s="24">
        <v>1</v>
      </c>
      <c r="Q11" s="24">
        <f>O11*P11</f>
        <v>4</v>
      </c>
      <c r="R11" s="72"/>
      <c r="S11" s="72"/>
      <c r="T11" s="72"/>
      <c r="U11" s="24"/>
      <c r="V11" s="24"/>
      <c r="W11" s="24"/>
    </row>
    <row r="12" spans="1:23" ht="60" customHeight="1" x14ac:dyDescent="0.3">
      <c r="A12" s="17"/>
      <c r="B12" s="11"/>
      <c r="C12" s="11"/>
      <c r="D12" s="11"/>
      <c r="E12" s="12"/>
      <c r="F12" s="72"/>
      <c r="G12" s="72"/>
      <c r="H12" s="72"/>
      <c r="I12" s="72"/>
      <c r="J12" s="71"/>
      <c r="K12" s="71"/>
      <c r="L12" s="72"/>
      <c r="M12" s="72"/>
      <c r="N12" s="72"/>
      <c r="O12" s="12"/>
      <c r="P12" s="12"/>
      <c r="Q12" s="12"/>
      <c r="R12" s="72"/>
      <c r="S12" s="72"/>
      <c r="T12" s="72"/>
      <c r="U12" s="12"/>
      <c r="V12" s="12"/>
      <c r="W12" s="12"/>
    </row>
    <row r="13" spans="1:23" ht="60" customHeight="1" x14ac:dyDescent="0.3">
      <c r="A13" s="17"/>
      <c r="B13" s="11"/>
      <c r="C13" s="11"/>
      <c r="D13" s="11"/>
      <c r="E13" s="12"/>
      <c r="F13" s="72"/>
      <c r="G13" s="72"/>
      <c r="H13" s="72"/>
      <c r="I13" s="72"/>
      <c r="J13" s="71"/>
      <c r="K13" s="71"/>
      <c r="L13" s="72"/>
      <c r="M13" s="72"/>
      <c r="N13" s="72"/>
      <c r="O13" s="12"/>
      <c r="P13" s="12"/>
      <c r="Q13" s="12"/>
      <c r="R13" s="72"/>
      <c r="S13" s="72"/>
      <c r="T13" s="72"/>
      <c r="U13" s="12"/>
      <c r="V13" s="12"/>
      <c r="W13" s="12"/>
    </row>
    <row r="14" spans="1:23" ht="60" customHeight="1" x14ac:dyDescent="0.3">
      <c r="A14" s="18"/>
      <c r="B14" s="11"/>
      <c r="C14" s="11"/>
      <c r="D14" s="11"/>
      <c r="E14" s="12"/>
      <c r="F14" s="72"/>
      <c r="G14" s="72"/>
      <c r="H14" s="72"/>
      <c r="I14" s="72"/>
      <c r="J14" s="71"/>
      <c r="K14" s="71"/>
      <c r="L14" s="72"/>
      <c r="M14" s="72"/>
      <c r="N14" s="72"/>
      <c r="O14" s="12"/>
      <c r="P14" s="12"/>
      <c r="Q14" s="12"/>
      <c r="R14" s="72"/>
      <c r="S14" s="72"/>
      <c r="T14" s="72"/>
      <c r="U14" s="12"/>
      <c r="V14" s="12"/>
      <c r="W14" s="12"/>
    </row>
    <row r="15" spans="1:23" ht="60" customHeight="1" x14ac:dyDescent="0.3">
      <c r="A15" s="18"/>
      <c r="B15" s="11"/>
      <c r="C15" s="11"/>
      <c r="D15" s="11"/>
      <c r="E15" s="12"/>
      <c r="F15" s="72"/>
      <c r="G15" s="72"/>
      <c r="H15" s="72"/>
      <c r="I15" s="72"/>
      <c r="J15" s="71"/>
      <c r="K15" s="71"/>
      <c r="L15" s="72"/>
      <c r="M15" s="72"/>
      <c r="N15" s="72"/>
      <c r="O15" s="12"/>
      <c r="P15" s="12"/>
      <c r="Q15" s="12"/>
      <c r="R15" s="72"/>
      <c r="S15" s="72"/>
      <c r="T15" s="72"/>
      <c r="U15" s="12"/>
      <c r="V15" s="12"/>
      <c r="W15" s="12"/>
    </row>
    <row r="16" spans="1:23" ht="60" customHeight="1" x14ac:dyDescent="0.3">
      <c r="A16" s="18"/>
      <c r="B16" s="11"/>
      <c r="C16" s="11"/>
      <c r="D16" s="11"/>
      <c r="E16" s="12"/>
      <c r="F16" s="72"/>
      <c r="G16" s="72"/>
      <c r="H16" s="72"/>
      <c r="I16" s="72"/>
      <c r="J16" s="71"/>
      <c r="K16" s="71"/>
      <c r="L16" s="72"/>
      <c r="M16" s="72"/>
      <c r="N16" s="72"/>
      <c r="O16" s="12"/>
      <c r="P16" s="12"/>
      <c r="Q16" s="12"/>
      <c r="R16" s="72"/>
      <c r="S16" s="72"/>
      <c r="T16" s="72"/>
      <c r="U16" s="12"/>
      <c r="V16" s="12"/>
      <c r="W16" s="12"/>
    </row>
    <row r="17" spans="1:23" ht="60" customHeight="1" x14ac:dyDescent="0.3">
      <c r="A17" s="11"/>
      <c r="B17" s="11"/>
      <c r="C17" s="11"/>
      <c r="D17" s="11"/>
      <c r="E17" s="12"/>
      <c r="F17" s="97"/>
      <c r="G17" s="97"/>
      <c r="H17" s="97"/>
      <c r="I17" s="97"/>
      <c r="J17" s="71"/>
      <c r="K17" s="71"/>
      <c r="L17" s="72"/>
      <c r="M17" s="72"/>
      <c r="N17" s="72"/>
      <c r="O17" s="12"/>
      <c r="P17" s="12"/>
      <c r="Q17" s="12"/>
      <c r="R17" s="72"/>
      <c r="S17" s="72"/>
      <c r="T17" s="72"/>
      <c r="U17" s="12"/>
      <c r="V17" s="12"/>
      <c r="W17" s="12"/>
    </row>
    <row r="18" spans="1:23" ht="60" customHeight="1" x14ac:dyDescent="0.3">
      <c r="A18" s="11"/>
      <c r="B18" s="11"/>
      <c r="C18" s="11"/>
      <c r="D18" s="11"/>
      <c r="E18" s="12"/>
      <c r="F18" s="72"/>
      <c r="G18" s="72"/>
      <c r="H18" s="72"/>
      <c r="I18" s="72"/>
      <c r="J18" s="71"/>
      <c r="K18" s="71"/>
      <c r="L18" s="72"/>
      <c r="M18" s="72"/>
      <c r="N18" s="72"/>
      <c r="O18" s="12"/>
      <c r="P18" s="12"/>
      <c r="Q18" s="12"/>
      <c r="R18" s="72"/>
      <c r="S18" s="72"/>
      <c r="T18" s="72"/>
      <c r="U18" s="12"/>
      <c r="V18" s="12"/>
      <c r="W18" s="12"/>
    </row>
    <row r="19" spans="1:23" ht="60" customHeight="1" x14ac:dyDescent="0.3">
      <c r="A19" s="11"/>
      <c r="B19" s="11"/>
      <c r="C19" s="11"/>
      <c r="D19" s="11"/>
      <c r="E19" s="12"/>
      <c r="F19" s="97"/>
      <c r="G19" s="97"/>
      <c r="H19" s="97"/>
      <c r="I19" s="97"/>
      <c r="J19" s="71"/>
      <c r="K19" s="71"/>
      <c r="L19" s="72"/>
      <c r="M19" s="72"/>
      <c r="N19" s="72"/>
      <c r="O19" s="12"/>
      <c r="P19" s="12"/>
      <c r="Q19" s="12"/>
      <c r="R19" s="72"/>
      <c r="S19" s="72"/>
      <c r="T19" s="72"/>
      <c r="U19" s="12"/>
      <c r="V19" s="12"/>
      <c r="W19" s="12"/>
    </row>
    <row r="20" spans="1:23" ht="60" customHeight="1" x14ac:dyDescent="0.3">
      <c r="A20" s="11"/>
      <c r="B20" s="11"/>
      <c r="C20" s="11"/>
      <c r="D20" s="11"/>
      <c r="E20" s="12"/>
      <c r="F20" s="97"/>
      <c r="G20" s="97"/>
      <c r="H20" s="97"/>
      <c r="I20" s="97"/>
      <c r="J20" s="71"/>
      <c r="K20" s="71"/>
      <c r="L20" s="72"/>
      <c r="M20" s="72"/>
      <c r="N20" s="72"/>
      <c r="O20" s="12"/>
      <c r="P20" s="12"/>
      <c r="Q20" s="12"/>
      <c r="R20" s="72"/>
      <c r="S20" s="72"/>
      <c r="T20" s="72"/>
      <c r="U20" s="12"/>
      <c r="V20" s="12"/>
      <c r="W20" s="12"/>
    </row>
    <row r="21" spans="1:23" ht="60" customHeight="1" x14ac:dyDescent="0.3">
      <c r="A21" s="11"/>
      <c r="B21" s="11"/>
      <c r="C21" s="11"/>
      <c r="D21" s="11"/>
      <c r="E21" s="12"/>
      <c r="F21" s="97"/>
      <c r="G21" s="97"/>
      <c r="H21" s="97"/>
      <c r="I21" s="97"/>
      <c r="J21" s="71"/>
      <c r="K21" s="71"/>
      <c r="L21" s="72"/>
      <c r="M21" s="72"/>
      <c r="N21" s="72"/>
      <c r="O21" s="12"/>
      <c r="P21" s="12"/>
      <c r="Q21" s="12"/>
      <c r="R21" s="72"/>
      <c r="S21" s="72"/>
      <c r="T21" s="72"/>
      <c r="U21" s="12"/>
      <c r="V21" s="12"/>
      <c r="W21" s="12"/>
    </row>
    <row r="22" spans="1:23" ht="60" customHeight="1" x14ac:dyDescent="0.3">
      <c r="A22" s="11"/>
      <c r="B22" s="11"/>
      <c r="C22" s="11"/>
      <c r="D22" s="11"/>
      <c r="E22" s="12"/>
      <c r="F22" s="97"/>
      <c r="G22" s="97"/>
      <c r="H22" s="97"/>
      <c r="I22" s="97"/>
      <c r="J22" s="71"/>
      <c r="K22" s="71"/>
      <c r="L22" s="72"/>
      <c r="M22" s="72"/>
      <c r="N22" s="72"/>
      <c r="O22" s="12"/>
      <c r="P22" s="12"/>
      <c r="Q22" s="12"/>
      <c r="R22" s="72"/>
      <c r="S22" s="72"/>
      <c r="T22" s="72"/>
      <c r="U22" s="12"/>
      <c r="V22" s="12"/>
      <c r="W22" s="12"/>
    </row>
    <row r="23" spans="1:23" ht="60" customHeight="1" x14ac:dyDescent="0.3">
      <c r="A23" s="11"/>
      <c r="B23" s="11"/>
      <c r="C23" s="11"/>
      <c r="D23" s="11"/>
      <c r="E23" s="12"/>
      <c r="F23" s="72"/>
      <c r="G23" s="72"/>
      <c r="H23" s="72"/>
      <c r="I23" s="72"/>
      <c r="J23" s="71"/>
      <c r="K23" s="71"/>
      <c r="L23" s="72"/>
      <c r="M23" s="72"/>
      <c r="N23" s="72"/>
      <c r="O23" s="12"/>
      <c r="P23" s="12"/>
      <c r="Q23" s="12"/>
      <c r="R23" s="72"/>
      <c r="S23" s="72"/>
      <c r="T23" s="72"/>
      <c r="U23" s="12"/>
      <c r="V23" s="12"/>
      <c r="W23" s="12"/>
    </row>
    <row r="24" spans="1:23" ht="60" customHeight="1" x14ac:dyDescent="0.3">
      <c r="A24" s="11"/>
      <c r="B24" s="11"/>
      <c r="C24" s="11"/>
      <c r="D24" s="11"/>
      <c r="E24" s="12"/>
      <c r="F24" s="97"/>
      <c r="G24" s="97"/>
      <c r="H24" s="97"/>
      <c r="I24" s="97"/>
      <c r="J24" s="71"/>
      <c r="K24" s="71"/>
      <c r="L24" s="72"/>
      <c r="M24" s="72"/>
      <c r="N24" s="72"/>
      <c r="O24" s="12"/>
      <c r="P24" s="12"/>
      <c r="Q24" s="12"/>
      <c r="R24" s="72"/>
      <c r="S24" s="72"/>
      <c r="T24" s="72"/>
      <c r="U24" s="12"/>
      <c r="V24" s="12"/>
      <c r="W24" s="12"/>
    </row>
    <row r="25" spans="1:23" ht="60" customHeight="1" x14ac:dyDescent="0.3">
      <c r="A25" s="11"/>
      <c r="B25" s="11"/>
      <c r="C25" s="11"/>
      <c r="D25" s="11"/>
      <c r="E25" s="12"/>
      <c r="F25" s="97"/>
      <c r="G25" s="97"/>
      <c r="H25" s="97"/>
      <c r="I25" s="97"/>
      <c r="J25" s="71"/>
      <c r="K25" s="71"/>
      <c r="L25" s="72"/>
      <c r="M25" s="72"/>
      <c r="N25" s="72"/>
      <c r="O25" s="12"/>
      <c r="P25" s="12"/>
      <c r="Q25" s="12"/>
      <c r="R25" s="72"/>
      <c r="S25" s="72"/>
      <c r="T25" s="72"/>
      <c r="U25" s="12"/>
      <c r="V25" s="12"/>
      <c r="W25" s="12"/>
    </row>
    <row r="26" spans="1:23" ht="60" customHeight="1" x14ac:dyDescent="0.3">
      <c r="A26" s="11"/>
      <c r="B26" s="11"/>
      <c r="C26" s="11"/>
      <c r="D26" s="11"/>
      <c r="E26" s="12"/>
      <c r="F26" s="72"/>
      <c r="G26" s="72"/>
      <c r="H26" s="72"/>
      <c r="I26" s="72"/>
      <c r="J26" s="71"/>
      <c r="K26" s="71"/>
      <c r="L26" s="72"/>
      <c r="M26" s="72"/>
      <c r="N26" s="72"/>
      <c r="O26" s="12"/>
      <c r="P26" s="12"/>
      <c r="Q26" s="12"/>
      <c r="R26" s="72"/>
      <c r="S26" s="72"/>
      <c r="T26" s="72"/>
      <c r="U26" s="12"/>
      <c r="V26" s="12"/>
      <c r="W26" s="12"/>
    </row>
    <row r="27" spans="1:23" ht="60" customHeight="1" x14ac:dyDescent="0.3">
      <c r="A27" s="11"/>
      <c r="B27" s="11"/>
      <c r="C27" s="11"/>
      <c r="D27" s="11"/>
      <c r="E27" s="12"/>
      <c r="F27" s="97"/>
      <c r="G27" s="97"/>
      <c r="H27" s="97"/>
      <c r="I27" s="97"/>
      <c r="J27" s="71"/>
      <c r="K27" s="71"/>
      <c r="L27" s="72"/>
      <c r="M27" s="72"/>
      <c r="N27" s="72"/>
      <c r="O27" s="12"/>
      <c r="P27" s="12"/>
      <c r="Q27" s="12"/>
      <c r="R27" s="72"/>
      <c r="S27" s="72"/>
      <c r="T27" s="72"/>
      <c r="U27" s="12"/>
      <c r="V27" s="12"/>
      <c r="W27" s="12"/>
    </row>
    <row r="28" spans="1:23" ht="60" customHeight="1" x14ac:dyDescent="0.3">
      <c r="A28" s="11"/>
      <c r="B28" s="11"/>
      <c r="C28" s="11"/>
      <c r="D28" s="11"/>
      <c r="E28" s="12"/>
      <c r="F28" s="97"/>
      <c r="G28" s="97"/>
      <c r="H28" s="97"/>
      <c r="I28" s="97"/>
      <c r="J28" s="71"/>
      <c r="K28" s="71"/>
      <c r="L28" s="72"/>
      <c r="M28" s="72"/>
      <c r="N28" s="72"/>
      <c r="O28" s="12"/>
      <c r="P28" s="12"/>
      <c r="Q28" s="12"/>
      <c r="R28" s="72"/>
      <c r="S28" s="72"/>
      <c r="T28" s="72"/>
      <c r="U28" s="12"/>
      <c r="V28" s="12"/>
      <c r="W28" s="12"/>
    </row>
    <row r="29" spans="1:23" ht="60" customHeight="1" x14ac:dyDescent="0.3">
      <c r="A29" s="11"/>
      <c r="B29" s="11"/>
      <c r="C29" s="11"/>
      <c r="D29" s="11"/>
      <c r="E29" s="12"/>
      <c r="F29" s="72"/>
      <c r="G29" s="72"/>
      <c r="H29" s="72"/>
      <c r="I29" s="72"/>
      <c r="J29" s="71"/>
      <c r="K29" s="71"/>
      <c r="L29" s="72"/>
      <c r="M29" s="72"/>
      <c r="N29" s="72"/>
      <c r="O29" s="12"/>
      <c r="P29" s="12"/>
      <c r="Q29" s="12"/>
      <c r="R29" s="72"/>
      <c r="S29" s="72"/>
      <c r="T29" s="72"/>
      <c r="U29" s="12"/>
      <c r="V29" s="12"/>
      <c r="W29" s="12"/>
    </row>
    <row r="30" spans="1:23" ht="60" customHeight="1" x14ac:dyDescent="0.3">
      <c r="A30" s="11"/>
      <c r="B30" s="11"/>
      <c r="C30" s="11"/>
      <c r="D30" s="11"/>
      <c r="E30" s="12"/>
      <c r="F30" s="97"/>
      <c r="G30" s="97"/>
      <c r="H30" s="97"/>
      <c r="I30" s="97"/>
      <c r="J30" s="71"/>
      <c r="K30" s="71"/>
      <c r="L30" s="72"/>
      <c r="M30" s="72"/>
      <c r="N30" s="72"/>
      <c r="O30" s="12"/>
      <c r="P30" s="12"/>
      <c r="Q30" s="12"/>
      <c r="R30" s="72"/>
      <c r="S30" s="72"/>
      <c r="T30" s="72"/>
      <c r="U30" s="12"/>
      <c r="V30" s="12"/>
      <c r="W30" s="12"/>
    </row>
    <row r="31" spans="1:23" ht="60" customHeight="1" x14ac:dyDescent="0.3">
      <c r="A31" s="11"/>
      <c r="B31" s="11"/>
      <c r="C31" s="11"/>
      <c r="D31" s="11"/>
      <c r="E31" s="12"/>
      <c r="F31" s="97"/>
      <c r="G31" s="97"/>
      <c r="H31" s="97"/>
      <c r="I31" s="97"/>
      <c r="J31" s="71"/>
      <c r="K31" s="71"/>
      <c r="L31" s="72"/>
      <c r="M31" s="72"/>
      <c r="N31" s="72"/>
      <c r="O31" s="12"/>
      <c r="P31" s="12"/>
      <c r="Q31" s="12"/>
      <c r="R31" s="72"/>
      <c r="S31" s="72"/>
      <c r="T31" s="72"/>
      <c r="U31" s="12"/>
      <c r="V31" s="12"/>
      <c r="W31" s="12"/>
    </row>
    <row r="32" spans="1:23" ht="60" customHeight="1" x14ac:dyDescent="0.3">
      <c r="A32" s="11"/>
      <c r="B32" s="11"/>
      <c r="C32" s="11"/>
      <c r="D32" s="11"/>
      <c r="E32" s="12"/>
      <c r="F32" s="97"/>
      <c r="G32" s="97"/>
      <c r="H32" s="97"/>
      <c r="I32" s="97"/>
      <c r="J32" s="71"/>
      <c r="K32" s="71"/>
      <c r="L32" s="72"/>
      <c r="M32" s="72"/>
      <c r="N32" s="72"/>
      <c r="O32" s="12"/>
      <c r="P32" s="12"/>
      <c r="Q32" s="12"/>
      <c r="R32" s="72"/>
      <c r="S32" s="72"/>
      <c r="T32" s="72"/>
      <c r="U32" s="12"/>
      <c r="V32" s="12"/>
      <c r="W32" s="12"/>
    </row>
    <row r="33" spans="1:23" ht="60" customHeight="1" x14ac:dyDescent="0.3">
      <c r="A33" s="11"/>
      <c r="B33" s="11"/>
      <c r="C33" s="11"/>
      <c r="D33" s="11"/>
      <c r="E33" s="12"/>
      <c r="F33" s="97"/>
      <c r="G33" s="97"/>
      <c r="H33" s="97"/>
      <c r="I33" s="97"/>
      <c r="J33" s="71"/>
      <c r="K33" s="71"/>
      <c r="L33" s="72"/>
      <c r="M33" s="72"/>
      <c r="N33" s="72"/>
      <c r="O33" s="12"/>
      <c r="P33" s="12"/>
      <c r="Q33" s="12"/>
      <c r="R33" s="72"/>
      <c r="S33" s="72"/>
      <c r="T33" s="72"/>
      <c r="U33" s="12"/>
      <c r="V33" s="12"/>
      <c r="W33" s="12"/>
    </row>
    <row r="34" spans="1:23" ht="60" customHeight="1" x14ac:dyDescent="0.3">
      <c r="A34" s="11"/>
      <c r="B34" s="11"/>
      <c r="C34" s="11"/>
      <c r="D34" s="11"/>
      <c r="E34" s="12"/>
      <c r="F34" s="72"/>
      <c r="G34" s="72"/>
      <c r="H34" s="72"/>
      <c r="I34" s="72"/>
      <c r="J34" s="71"/>
      <c r="K34" s="71"/>
      <c r="L34" s="72"/>
      <c r="M34" s="72"/>
      <c r="N34" s="72"/>
      <c r="O34" s="12"/>
      <c r="P34" s="12"/>
      <c r="Q34" s="12"/>
      <c r="R34" s="72"/>
      <c r="S34" s="72"/>
      <c r="T34" s="72"/>
      <c r="U34" s="12"/>
      <c r="V34" s="12"/>
      <c r="W34" s="12"/>
    </row>
    <row r="35" spans="1:23" ht="60" customHeight="1" x14ac:dyDescent="0.3">
      <c r="A35" s="11"/>
      <c r="B35" s="11"/>
      <c r="C35" s="11"/>
      <c r="D35" s="11"/>
      <c r="E35" s="12"/>
      <c r="F35" s="97"/>
      <c r="G35" s="97"/>
      <c r="H35" s="97"/>
      <c r="I35" s="97"/>
      <c r="J35" s="71"/>
      <c r="K35" s="71"/>
      <c r="L35" s="72"/>
      <c r="M35" s="72"/>
      <c r="N35" s="72"/>
      <c r="O35" s="12"/>
      <c r="P35" s="12"/>
      <c r="Q35" s="12"/>
      <c r="R35" s="72"/>
      <c r="S35" s="72"/>
      <c r="T35" s="72"/>
      <c r="U35" s="12"/>
      <c r="V35" s="12"/>
      <c r="W35" s="12"/>
    </row>
    <row r="36" spans="1:23" ht="60" customHeight="1" x14ac:dyDescent="0.3">
      <c r="A36" s="11"/>
      <c r="B36" s="11"/>
      <c r="C36" s="11"/>
      <c r="D36" s="11"/>
      <c r="E36" s="12"/>
      <c r="F36" s="97"/>
      <c r="G36" s="97"/>
      <c r="H36" s="97"/>
      <c r="I36" s="97"/>
      <c r="J36" s="71"/>
      <c r="K36" s="71"/>
      <c r="L36" s="72"/>
      <c r="M36" s="72"/>
      <c r="N36" s="72"/>
      <c r="O36" s="12"/>
      <c r="P36" s="12"/>
      <c r="Q36" s="12"/>
      <c r="R36" s="72"/>
      <c r="S36" s="72"/>
      <c r="T36" s="72"/>
      <c r="U36" s="12"/>
      <c r="V36" s="12"/>
      <c r="W36" s="12"/>
    </row>
    <row r="37" spans="1:23" ht="60" customHeight="1" x14ac:dyDescent="0.3">
      <c r="A37" s="11"/>
      <c r="B37" s="11"/>
      <c r="C37" s="11"/>
      <c r="D37" s="11"/>
      <c r="E37" s="12"/>
      <c r="F37" s="72"/>
      <c r="G37" s="72"/>
      <c r="H37" s="72"/>
      <c r="I37" s="72"/>
      <c r="J37" s="71"/>
      <c r="K37" s="71"/>
      <c r="L37" s="72"/>
      <c r="M37" s="72"/>
      <c r="N37" s="72"/>
      <c r="O37" s="12"/>
      <c r="P37" s="12"/>
      <c r="Q37" s="12"/>
      <c r="R37" s="72"/>
      <c r="S37" s="72"/>
      <c r="T37" s="72"/>
      <c r="U37" s="12"/>
      <c r="V37" s="12"/>
      <c r="W37" s="12"/>
    </row>
    <row r="38" spans="1:23" ht="60" customHeight="1" x14ac:dyDescent="0.3">
      <c r="A38" s="11"/>
      <c r="B38" s="11"/>
      <c r="C38" s="11"/>
      <c r="D38" s="11"/>
      <c r="E38" s="12"/>
      <c r="F38" s="97"/>
      <c r="G38" s="97"/>
      <c r="H38" s="97"/>
      <c r="I38" s="97"/>
      <c r="J38" s="71"/>
      <c r="K38" s="71"/>
      <c r="L38" s="72"/>
      <c r="M38" s="72"/>
      <c r="N38" s="72"/>
      <c r="O38" s="12"/>
      <c r="P38" s="12"/>
      <c r="Q38" s="12"/>
      <c r="R38" s="72"/>
      <c r="S38" s="72"/>
      <c r="T38" s="72"/>
      <c r="U38" s="12"/>
      <c r="V38" s="12"/>
      <c r="W38" s="12"/>
    </row>
    <row r="39" spans="1:23" ht="60" customHeight="1" x14ac:dyDescent="0.3">
      <c r="A39" s="11"/>
      <c r="B39" s="11"/>
      <c r="C39" s="11"/>
      <c r="D39" s="11"/>
      <c r="E39" s="12"/>
      <c r="F39" s="97"/>
      <c r="G39" s="97"/>
      <c r="H39" s="97"/>
      <c r="I39" s="97"/>
      <c r="J39" s="71"/>
      <c r="K39" s="71"/>
      <c r="L39" s="72"/>
      <c r="M39" s="72"/>
      <c r="N39" s="72"/>
      <c r="O39" s="12"/>
      <c r="P39" s="12"/>
      <c r="Q39" s="12"/>
      <c r="R39" s="72"/>
      <c r="S39" s="72"/>
      <c r="T39" s="72"/>
      <c r="U39" s="12"/>
      <c r="V39" s="12"/>
      <c r="W39" s="12"/>
    </row>
    <row r="40" spans="1:23" ht="60" customHeight="1" x14ac:dyDescent="0.3">
      <c r="A40" s="11"/>
      <c r="B40" s="11"/>
      <c r="C40" s="11"/>
      <c r="D40" s="11"/>
      <c r="E40" s="12"/>
      <c r="F40" s="97"/>
      <c r="G40" s="97"/>
      <c r="H40" s="97"/>
      <c r="I40" s="97"/>
      <c r="J40" s="71"/>
      <c r="K40" s="71"/>
      <c r="L40" s="72"/>
      <c r="M40" s="72"/>
      <c r="N40" s="72"/>
      <c r="O40" s="12"/>
      <c r="P40" s="12"/>
      <c r="Q40" s="12"/>
      <c r="R40" s="72"/>
      <c r="S40" s="72"/>
      <c r="T40" s="72"/>
      <c r="U40" s="12"/>
      <c r="V40" s="12"/>
      <c r="W40" s="12"/>
    </row>
    <row r="41" spans="1:23" x14ac:dyDescent="0.3">
      <c r="E41" s="12"/>
    </row>
    <row r="42" spans="1:23" x14ac:dyDescent="0.3">
      <c r="E42" s="12"/>
    </row>
    <row r="123" spans="9:9" x14ac:dyDescent="0.3">
      <c r="I123" t="s">
        <v>10</v>
      </c>
    </row>
  </sheetData>
  <mergeCells count="150">
    <mergeCell ref="F39:I39"/>
    <mergeCell ref="J39:K39"/>
    <mergeCell ref="L39:N39"/>
    <mergeCell ref="R39:T39"/>
    <mergeCell ref="F40:I40"/>
    <mergeCell ref="J40:K40"/>
    <mergeCell ref="L40:N40"/>
    <mergeCell ref="R40:T40"/>
    <mergeCell ref="F37:I37"/>
    <mergeCell ref="J37:K37"/>
    <mergeCell ref="L37:N37"/>
    <mergeCell ref="R37:T37"/>
    <mergeCell ref="F38:I38"/>
    <mergeCell ref="J38:K38"/>
    <mergeCell ref="L38:N38"/>
    <mergeCell ref="R38:T38"/>
    <mergeCell ref="F35:I35"/>
    <mergeCell ref="J35:K35"/>
    <mergeCell ref="L35:N35"/>
    <mergeCell ref="R35:T35"/>
    <mergeCell ref="F36:I36"/>
    <mergeCell ref="J36:K36"/>
    <mergeCell ref="L36:N36"/>
    <mergeCell ref="R36:T36"/>
    <mergeCell ref="F33:I33"/>
    <mergeCell ref="J33:K33"/>
    <mergeCell ref="L33:N33"/>
    <mergeCell ref="R33:T33"/>
    <mergeCell ref="F34:I34"/>
    <mergeCell ref="J34:K34"/>
    <mergeCell ref="L34:N34"/>
    <mergeCell ref="R34:T34"/>
    <mergeCell ref="F31:I31"/>
    <mergeCell ref="J31:K31"/>
    <mergeCell ref="L31:N31"/>
    <mergeCell ref="R31:T31"/>
    <mergeCell ref="F32:I32"/>
    <mergeCell ref="J32:K32"/>
    <mergeCell ref="L32:N32"/>
    <mergeCell ref="R32:T32"/>
    <mergeCell ref="F29:I29"/>
    <mergeCell ref="J29:K29"/>
    <mergeCell ref="L29:N29"/>
    <mergeCell ref="R29:T29"/>
    <mergeCell ref="F30:I30"/>
    <mergeCell ref="J30:K30"/>
    <mergeCell ref="L30:N30"/>
    <mergeCell ref="R30:T30"/>
    <mergeCell ref="F27:I27"/>
    <mergeCell ref="J27:K27"/>
    <mergeCell ref="L27:N27"/>
    <mergeCell ref="R27:T27"/>
    <mergeCell ref="F28:I28"/>
    <mergeCell ref="J28:K28"/>
    <mergeCell ref="L28:N28"/>
    <mergeCell ref="R28:T28"/>
    <mergeCell ref="F25:I25"/>
    <mergeCell ref="J25:K25"/>
    <mergeCell ref="L25:N25"/>
    <mergeCell ref="R25:T25"/>
    <mergeCell ref="F26:I26"/>
    <mergeCell ref="J26:K26"/>
    <mergeCell ref="L26:N26"/>
    <mergeCell ref="R26:T26"/>
    <mergeCell ref="F23:I23"/>
    <mergeCell ref="J23:K23"/>
    <mergeCell ref="L23:N23"/>
    <mergeCell ref="R23:T23"/>
    <mergeCell ref="F24:I24"/>
    <mergeCell ref="J24:K24"/>
    <mergeCell ref="L24:N24"/>
    <mergeCell ref="R24:T24"/>
    <mergeCell ref="F21:I21"/>
    <mergeCell ref="J21:K21"/>
    <mergeCell ref="L21:N21"/>
    <mergeCell ref="R21:T21"/>
    <mergeCell ref="F22:I22"/>
    <mergeCell ref="J22:K22"/>
    <mergeCell ref="L22:N22"/>
    <mergeCell ref="R22:T22"/>
    <mergeCell ref="F19:I19"/>
    <mergeCell ref="J19:K19"/>
    <mergeCell ref="L19:N19"/>
    <mergeCell ref="R19:T19"/>
    <mergeCell ref="F20:I20"/>
    <mergeCell ref="J20:K20"/>
    <mergeCell ref="L20:N20"/>
    <mergeCell ref="R20:T20"/>
    <mergeCell ref="F17:I17"/>
    <mergeCell ref="J17:K17"/>
    <mergeCell ref="L17:N17"/>
    <mergeCell ref="R17:T17"/>
    <mergeCell ref="F18:I18"/>
    <mergeCell ref="J18:K18"/>
    <mergeCell ref="L18:N18"/>
    <mergeCell ref="R18:T18"/>
    <mergeCell ref="F15:I15"/>
    <mergeCell ref="J15:K15"/>
    <mergeCell ref="L15:N15"/>
    <mergeCell ref="R15:T15"/>
    <mergeCell ref="F16:I16"/>
    <mergeCell ref="J16:K16"/>
    <mergeCell ref="L16:N16"/>
    <mergeCell ref="R16:T16"/>
    <mergeCell ref="F13:I13"/>
    <mergeCell ref="J13:K13"/>
    <mergeCell ref="L13:N13"/>
    <mergeCell ref="R13:T13"/>
    <mergeCell ref="F14:I14"/>
    <mergeCell ref="J14:K14"/>
    <mergeCell ref="L14:N14"/>
    <mergeCell ref="R14:T14"/>
    <mergeCell ref="F11:I11"/>
    <mergeCell ref="J11:K11"/>
    <mergeCell ref="L11:N11"/>
    <mergeCell ref="R11:T11"/>
    <mergeCell ref="F12:I12"/>
    <mergeCell ref="J12:K12"/>
    <mergeCell ref="L12:N12"/>
    <mergeCell ref="R12:T12"/>
    <mergeCell ref="F9:I9"/>
    <mergeCell ref="J9:K9"/>
    <mergeCell ref="L9:N9"/>
    <mergeCell ref="R9:T9"/>
    <mergeCell ref="F10:I10"/>
    <mergeCell ref="J10:K10"/>
    <mergeCell ref="L10:N10"/>
    <mergeCell ref="R10:T10"/>
    <mergeCell ref="O6:Q6"/>
    <mergeCell ref="R6:T8"/>
    <mergeCell ref="U6:W6"/>
    <mergeCell ref="B7:B8"/>
    <mergeCell ref="C7:C8"/>
    <mergeCell ref="D7:D8"/>
    <mergeCell ref="A6:A8"/>
    <mergeCell ref="B6:D6"/>
    <mergeCell ref="E6:E8"/>
    <mergeCell ref="F6:I8"/>
    <mergeCell ref="J6:K8"/>
    <mergeCell ref="L6:N8"/>
    <mergeCell ref="A1:T1"/>
    <mergeCell ref="B2:E2"/>
    <mergeCell ref="F2:Q5"/>
    <mergeCell ref="R2:S5"/>
    <mergeCell ref="U2:W2"/>
    <mergeCell ref="B3:E3"/>
    <mergeCell ref="T3:T5"/>
    <mergeCell ref="U3:W5"/>
    <mergeCell ref="B4:E4"/>
    <mergeCell ref="B5:E5"/>
  </mergeCells>
  <phoneticPr fontId="4" type="noConversion"/>
  <conditionalFormatting sqref="O11">
    <cfRule type="cellIs" dxfId="41" priority="1" operator="between">
      <formula>15</formula>
      <formula>20</formula>
    </cfRule>
    <cfRule type="cellIs" dxfId="40" priority="2" operator="between">
      <formula>9</formula>
      <formula>12</formula>
    </cfRule>
    <cfRule type="cellIs" dxfId="39" priority="3" operator="equal">
      <formula>8</formula>
    </cfRule>
  </conditionalFormatting>
  <conditionalFormatting sqref="Q9:Q40 W9:W40">
    <cfRule type="cellIs" dxfId="38" priority="4" operator="between">
      <formula>15</formula>
      <formula>20</formula>
    </cfRule>
    <cfRule type="cellIs" dxfId="37" priority="5" operator="between">
      <formula>9</formula>
      <formula>12</formula>
    </cfRule>
    <cfRule type="cellIs" dxfId="36" priority="6" operator="equal">
      <formula>8</formula>
    </cfRule>
  </conditionalFormatting>
  <pageMargins left="0.23622047244094491" right="0.23622047244094491" top="0.74803149606299213" bottom="0.74803149606299213" header="0.31496062992125984" footer="0.31496062992125984"/>
  <pageSetup paperSize="9" scale="50" orientation="landscape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200-000000000000}">
          <x14:formula1>
            <xm:f>'D:\Desktop\위험성평가\붙임1. 유해위험요인 분류표 및 위험성평가표(23년 네오트랜스)\협력사\윌앤비전\[유해위험요인 분류표 및 위험성평가표_윌앤비전(기지)_2024.xlsx]데이터필드'!#REF!</xm:f>
          </x14:formula1>
          <xm:sqref>J12:K40</xm:sqref>
        </x14:dataValidation>
        <x14:dataValidation type="list" allowBlank="1" showInputMessage="1" showErrorMessage="1" xr:uid="{00000000-0002-0000-0200-000001000000}">
          <x14:formula1>
            <xm:f>'D:\Desktop\위험성평가\붙임1. 유해위험요인 분류표 및 위험성평가표(23년 네오트랜스)\협력사\윌앤비전\[유해위험요인 분류표 및 위험성평가표_윌앤비전(기지)_2024.xlsx]데이터필드'!#REF!</xm:f>
          </x14:formula1>
          <xm:sqref>O12:P40 D9:D40 U9:V40 P9:P11 O9:O10 J9:K10</xm:sqref>
        </x14:dataValidation>
        <x14:dataValidation type="list" allowBlank="1" showInputMessage="1" showErrorMessage="1" xr:uid="{00000000-0002-0000-0200-000002000000}">
          <x14:formula1>
            <xm:f>'D:\0\8.위험성평가\25년도\위험성평가(부서별)_24년도 정기,수시 최종 반영\네오\시설\[위험성평가표_시설(시설관리)_2024.xlsx]데이터필드'!#REF!</xm:f>
          </x14:formula1>
          <xm:sqref>J11:K11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 tint="-0.249977111117893"/>
  </sheetPr>
  <dimension ref="A1:W125"/>
  <sheetViews>
    <sheetView view="pageBreakPreview" zoomScale="85" zoomScaleNormal="100" zoomScaleSheetLayoutView="85" workbookViewId="0">
      <pane ySplit="8" topLeftCell="A9" activePane="bottomLeft" state="frozen"/>
      <selection activeCell="D14" sqref="D14"/>
      <selection pane="bottomLeft" activeCell="D14" sqref="D14"/>
    </sheetView>
  </sheetViews>
  <sheetFormatPr defaultRowHeight="16.5" x14ac:dyDescent="0.3"/>
  <cols>
    <col min="1" max="1" width="15.625" customWidth="1"/>
    <col min="2" max="4" width="13.625" customWidth="1"/>
    <col min="5" max="5" width="13.625" style="9" customWidth="1"/>
    <col min="6" max="9" width="13.625" customWidth="1"/>
    <col min="10" max="11" width="5.625" customWidth="1"/>
    <col min="12" max="14" width="13.625" customWidth="1"/>
    <col min="15" max="17" width="7.625" customWidth="1"/>
    <col min="18" max="19" width="9.625" customWidth="1"/>
    <col min="20" max="23" width="10.625" customWidth="1"/>
  </cols>
  <sheetData>
    <row r="1" spans="1:23" ht="30" customHeight="1" x14ac:dyDescent="0.3">
      <c r="A1" s="37" t="s">
        <v>2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4"/>
      <c r="V1" s="4"/>
      <c r="W1" s="4"/>
    </row>
    <row r="2" spans="1:23" ht="39.950000000000003" customHeight="1" x14ac:dyDescent="0.3">
      <c r="A2" s="13" t="s">
        <v>16</v>
      </c>
      <c r="B2" s="58" t="s">
        <v>95</v>
      </c>
      <c r="C2" s="59"/>
      <c r="D2" s="59"/>
      <c r="E2" s="60"/>
      <c r="F2" s="73" t="s">
        <v>4</v>
      </c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4" t="s">
        <v>24</v>
      </c>
      <c r="S2" s="75"/>
      <c r="T2" s="14" t="s">
        <v>22</v>
      </c>
      <c r="U2" s="71"/>
      <c r="V2" s="71"/>
      <c r="W2" s="71"/>
    </row>
    <row r="3" spans="1:23" ht="30" customHeight="1" x14ac:dyDescent="0.3">
      <c r="A3" s="13" t="s">
        <v>18</v>
      </c>
      <c r="B3" s="58" t="s">
        <v>130</v>
      </c>
      <c r="C3" s="59"/>
      <c r="D3" s="59"/>
      <c r="E3" s="60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6"/>
      <c r="S3" s="77"/>
      <c r="T3" s="71" t="s">
        <v>23</v>
      </c>
      <c r="U3" s="71" t="s">
        <v>123</v>
      </c>
      <c r="V3" s="71"/>
      <c r="W3" s="71"/>
    </row>
    <row r="4" spans="1:23" ht="30" customHeight="1" x14ac:dyDescent="0.3">
      <c r="A4" s="13" t="s">
        <v>19</v>
      </c>
      <c r="B4" s="58" t="s">
        <v>96</v>
      </c>
      <c r="C4" s="59"/>
      <c r="D4" s="59"/>
      <c r="E4" s="60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6"/>
      <c r="S4" s="77"/>
      <c r="T4" s="71"/>
      <c r="U4" s="71"/>
      <c r="V4" s="71"/>
      <c r="W4" s="71"/>
    </row>
    <row r="5" spans="1:23" ht="30" customHeight="1" x14ac:dyDescent="0.3">
      <c r="A5" s="13" t="s">
        <v>0</v>
      </c>
      <c r="B5" s="58" t="s">
        <v>133</v>
      </c>
      <c r="C5" s="59"/>
      <c r="D5" s="59"/>
      <c r="E5" s="60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8"/>
      <c r="S5" s="79"/>
      <c r="T5" s="71"/>
      <c r="U5" s="71"/>
      <c r="V5" s="71"/>
      <c r="W5" s="71"/>
    </row>
    <row r="6" spans="1:23" ht="39.950000000000003" customHeight="1" x14ac:dyDescent="0.3">
      <c r="A6" s="88" t="s">
        <v>20</v>
      </c>
      <c r="B6" s="58" t="s">
        <v>11</v>
      </c>
      <c r="C6" s="59"/>
      <c r="D6" s="60"/>
      <c r="E6" s="88" t="s">
        <v>81</v>
      </c>
      <c r="F6" s="91" t="s">
        <v>82</v>
      </c>
      <c r="G6" s="83"/>
      <c r="H6" s="83"/>
      <c r="I6" s="92"/>
      <c r="J6" s="91" t="s">
        <v>5</v>
      </c>
      <c r="K6" s="92"/>
      <c r="L6" s="91" t="s">
        <v>15</v>
      </c>
      <c r="M6" s="83"/>
      <c r="N6" s="83"/>
      <c r="O6" s="80" t="s">
        <v>8</v>
      </c>
      <c r="P6" s="81"/>
      <c r="Q6" s="82"/>
      <c r="R6" s="83" t="s">
        <v>3</v>
      </c>
      <c r="S6" s="83"/>
      <c r="T6" s="83"/>
      <c r="U6" s="80" t="s">
        <v>21</v>
      </c>
      <c r="V6" s="81"/>
      <c r="W6" s="82"/>
    </row>
    <row r="7" spans="1:23" ht="30" customHeight="1" x14ac:dyDescent="0.3">
      <c r="A7" s="90"/>
      <c r="B7" s="86" t="s">
        <v>12</v>
      </c>
      <c r="C7" s="88" t="s">
        <v>13</v>
      </c>
      <c r="D7" s="86" t="s">
        <v>14</v>
      </c>
      <c r="E7" s="90"/>
      <c r="F7" s="93"/>
      <c r="G7" s="84"/>
      <c r="H7" s="84"/>
      <c r="I7" s="94"/>
      <c r="J7" s="93"/>
      <c r="K7" s="94"/>
      <c r="L7" s="93"/>
      <c r="M7" s="84"/>
      <c r="N7" s="84"/>
      <c r="O7" s="15" t="s">
        <v>6</v>
      </c>
      <c r="P7" s="15" t="s">
        <v>7</v>
      </c>
      <c r="Q7" s="15" t="s">
        <v>25</v>
      </c>
      <c r="R7" s="84"/>
      <c r="S7" s="84"/>
      <c r="T7" s="84"/>
      <c r="U7" s="15" t="s">
        <v>6</v>
      </c>
      <c r="V7" s="15" t="s">
        <v>7</v>
      </c>
      <c r="W7" s="15" t="s">
        <v>1</v>
      </c>
    </row>
    <row r="8" spans="1:23" ht="30" customHeight="1" x14ac:dyDescent="0.3">
      <c r="A8" s="89"/>
      <c r="B8" s="87"/>
      <c r="C8" s="89"/>
      <c r="D8" s="87"/>
      <c r="E8" s="89"/>
      <c r="F8" s="95"/>
      <c r="G8" s="85"/>
      <c r="H8" s="85"/>
      <c r="I8" s="96"/>
      <c r="J8" s="95"/>
      <c r="K8" s="96"/>
      <c r="L8" s="95"/>
      <c r="M8" s="85"/>
      <c r="N8" s="85"/>
      <c r="O8" s="16" t="s">
        <v>26</v>
      </c>
      <c r="P8" s="16" t="s">
        <v>27</v>
      </c>
      <c r="Q8" s="16" t="s">
        <v>28</v>
      </c>
      <c r="R8" s="85"/>
      <c r="S8" s="85"/>
      <c r="T8" s="85"/>
      <c r="U8" s="16" t="s">
        <v>26</v>
      </c>
      <c r="V8" s="16" t="s">
        <v>27</v>
      </c>
      <c r="W8" s="16" t="s">
        <v>28</v>
      </c>
    </row>
    <row r="9" spans="1:23" ht="60" customHeight="1" x14ac:dyDescent="0.3">
      <c r="A9" s="19" t="s">
        <v>86</v>
      </c>
      <c r="B9" s="20" t="s">
        <v>17</v>
      </c>
      <c r="C9" s="20" t="s">
        <v>17</v>
      </c>
      <c r="D9" s="20" t="s">
        <v>83</v>
      </c>
      <c r="E9" s="24" t="s">
        <v>132</v>
      </c>
      <c r="F9" s="36" t="s">
        <v>87</v>
      </c>
      <c r="G9" s="36"/>
      <c r="H9" s="36"/>
      <c r="I9" s="36"/>
      <c r="J9" s="35" t="s">
        <v>84</v>
      </c>
      <c r="K9" s="35"/>
      <c r="L9" s="36" t="s">
        <v>107</v>
      </c>
      <c r="M9" s="36"/>
      <c r="N9" s="36"/>
      <c r="O9" s="19">
        <v>4</v>
      </c>
      <c r="P9" s="23">
        <v>1</v>
      </c>
      <c r="Q9" s="23">
        <f>O9*P9</f>
        <v>4</v>
      </c>
      <c r="R9" s="36"/>
      <c r="S9" s="36"/>
      <c r="T9" s="36"/>
      <c r="U9" s="23"/>
      <c r="V9" s="23"/>
      <c r="W9" s="23"/>
    </row>
    <row r="10" spans="1:23" ht="60" customHeight="1" x14ac:dyDescent="0.3">
      <c r="A10" s="21"/>
      <c r="B10" s="5"/>
      <c r="C10" s="5"/>
      <c r="D10" s="5"/>
      <c r="E10" s="3"/>
      <c r="F10" s="32"/>
      <c r="G10" s="32"/>
      <c r="H10" s="32"/>
      <c r="I10" s="32"/>
      <c r="J10" s="33"/>
      <c r="K10" s="33"/>
      <c r="L10" s="32"/>
      <c r="M10" s="32"/>
      <c r="N10" s="32"/>
      <c r="O10" s="3"/>
      <c r="P10" s="3"/>
      <c r="Q10" s="3"/>
      <c r="R10" s="32"/>
      <c r="S10" s="32"/>
      <c r="T10" s="32"/>
      <c r="U10" s="3"/>
      <c r="V10" s="3"/>
      <c r="W10" s="3"/>
    </row>
    <row r="11" spans="1:23" ht="60" customHeight="1" x14ac:dyDescent="0.3">
      <c r="A11" s="19"/>
      <c r="B11" s="20"/>
      <c r="C11" s="20"/>
      <c r="D11" s="20"/>
      <c r="E11" s="12"/>
      <c r="F11" s="72"/>
      <c r="G11" s="72"/>
      <c r="H11" s="72"/>
      <c r="I11" s="72"/>
      <c r="J11" s="98"/>
      <c r="K11" s="99"/>
      <c r="L11" s="72"/>
      <c r="M11" s="72"/>
      <c r="N11" s="72"/>
      <c r="O11" s="12"/>
      <c r="P11" s="12"/>
      <c r="Q11" s="12"/>
      <c r="R11" s="72"/>
      <c r="S11" s="72"/>
      <c r="T11" s="72"/>
      <c r="U11" s="12"/>
      <c r="V11" s="12"/>
      <c r="W11" s="12"/>
    </row>
    <row r="12" spans="1:23" ht="60" customHeight="1" x14ac:dyDescent="0.3">
      <c r="A12" s="19"/>
      <c r="B12" s="20"/>
      <c r="C12" s="20"/>
      <c r="D12" s="20"/>
      <c r="E12" s="12"/>
      <c r="F12" s="72"/>
      <c r="G12" s="72"/>
      <c r="H12" s="72"/>
      <c r="I12" s="72"/>
      <c r="J12" s="98"/>
      <c r="K12" s="99"/>
      <c r="L12" s="72"/>
      <c r="M12" s="72"/>
      <c r="N12" s="72"/>
      <c r="O12" s="12"/>
      <c r="P12" s="12"/>
      <c r="Q12" s="12"/>
      <c r="R12" s="72"/>
      <c r="S12" s="72"/>
      <c r="T12" s="72"/>
      <c r="U12" s="12"/>
      <c r="V12" s="12"/>
      <c r="W12" s="12"/>
    </row>
    <row r="13" spans="1:23" ht="60" customHeight="1" x14ac:dyDescent="0.3">
      <c r="A13" s="10"/>
      <c r="B13" s="11"/>
      <c r="C13" s="11"/>
      <c r="D13" s="11"/>
      <c r="E13" s="12"/>
      <c r="F13" s="72"/>
      <c r="G13" s="72"/>
      <c r="H13" s="72"/>
      <c r="I13" s="72"/>
      <c r="J13" s="71"/>
      <c r="K13" s="71"/>
      <c r="L13" s="72"/>
      <c r="M13" s="72"/>
      <c r="N13" s="72"/>
      <c r="O13" s="12"/>
      <c r="P13" s="12"/>
      <c r="Q13" s="12"/>
      <c r="R13" s="72"/>
      <c r="S13" s="72"/>
      <c r="T13" s="72"/>
      <c r="U13" s="12"/>
      <c r="V13" s="12"/>
      <c r="W13" s="12"/>
    </row>
    <row r="14" spans="1:23" ht="60" customHeight="1" x14ac:dyDescent="0.3">
      <c r="A14" s="11"/>
      <c r="B14" s="11"/>
      <c r="C14" s="11"/>
      <c r="D14" s="11"/>
      <c r="E14" s="12"/>
      <c r="F14" s="72"/>
      <c r="G14" s="72"/>
      <c r="H14" s="72"/>
      <c r="I14" s="72"/>
      <c r="J14" s="71"/>
      <c r="K14" s="71"/>
      <c r="L14" s="72"/>
      <c r="M14" s="72"/>
      <c r="N14" s="72"/>
      <c r="O14" s="12"/>
      <c r="P14" s="12"/>
      <c r="Q14" s="12"/>
      <c r="R14" s="72"/>
      <c r="S14" s="72"/>
      <c r="T14" s="72"/>
      <c r="U14" s="12"/>
      <c r="V14" s="12"/>
      <c r="W14" s="12"/>
    </row>
    <row r="15" spans="1:23" ht="60" customHeight="1" x14ac:dyDescent="0.3">
      <c r="A15" s="11"/>
      <c r="B15" s="11"/>
      <c r="C15" s="11"/>
      <c r="D15" s="11"/>
      <c r="E15" s="12"/>
      <c r="F15" s="72"/>
      <c r="G15" s="72"/>
      <c r="H15" s="72"/>
      <c r="I15" s="72"/>
      <c r="J15" s="71"/>
      <c r="K15" s="71"/>
      <c r="L15" s="72"/>
      <c r="M15" s="72"/>
      <c r="N15" s="72"/>
      <c r="O15" s="12"/>
      <c r="P15" s="12"/>
      <c r="Q15" s="12"/>
      <c r="R15" s="72"/>
      <c r="S15" s="72"/>
      <c r="T15" s="72"/>
      <c r="U15" s="12"/>
      <c r="V15" s="12"/>
      <c r="W15" s="12"/>
    </row>
    <row r="16" spans="1:23" ht="60" customHeight="1" x14ac:dyDescent="0.3">
      <c r="A16" s="11"/>
      <c r="B16" s="11"/>
      <c r="C16" s="11"/>
      <c r="D16" s="11"/>
      <c r="E16" s="12"/>
      <c r="F16" s="72"/>
      <c r="G16" s="72"/>
      <c r="H16" s="72"/>
      <c r="I16" s="72"/>
      <c r="J16" s="71"/>
      <c r="K16" s="71"/>
      <c r="L16" s="72"/>
      <c r="M16" s="72"/>
      <c r="N16" s="72"/>
      <c r="O16" s="12"/>
      <c r="P16" s="12"/>
      <c r="Q16" s="12"/>
      <c r="R16" s="72"/>
      <c r="S16" s="72"/>
      <c r="T16" s="72"/>
      <c r="U16" s="12"/>
      <c r="V16" s="12"/>
      <c r="W16" s="12"/>
    </row>
    <row r="17" spans="1:23" ht="60" customHeight="1" x14ac:dyDescent="0.3">
      <c r="A17" s="11"/>
      <c r="B17" s="11"/>
      <c r="C17" s="11"/>
      <c r="D17" s="11"/>
      <c r="E17" s="12"/>
      <c r="F17" s="72"/>
      <c r="G17" s="72"/>
      <c r="H17" s="72"/>
      <c r="I17" s="72"/>
      <c r="J17" s="71"/>
      <c r="K17" s="71"/>
      <c r="L17" s="72"/>
      <c r="M17" s="72"/>
      <c r="N17" s="72"/>
      <c r="O17" s="12"/>
      <c r="P17" s="12"/>
      <c r="Q17" s="12"/>
      <c r="R17" s="72"/>
      <c r="S17" s="72"/>
      <c r="T17" s="72"/>
      <c r="U17" s="12"/>
      <c r="V17" s="12"/>
      <c r="W17" s="12"/>
    </row>
    <row r="18" spans="1:23" ht="60" customHeight="1" x14ac:dyDescent="0.3">
      <c r="A18" s="11"/>
      <c r="B18" s="11"/>
      <c r="C18" s="11"/>
      <c r="D18" s="11"/>
      <c r="E18" s="12"/>
      <c r="F18" s="97"/>
      <c r="G18" s="97"/>
      <c r="H18" s="97"/>
      <c r="I18" s="97"/>
      <c r="J18" s="71"/>
      <c r="K18" s="71"/>
      <c r="L18" s="72"/>
      <c r="M18" s="72"/>
      <c r="N18" s="72"/>
      <c r="O18" s="12"/>
      <c r="P18" s="12"/>
      <c r="Q18" s="12"/>
      <c r="R18" s="72"/>
      <c r="S18" s="72"/>
      <c r="T18" s="72"/>
      <c r="U18" s="12"/>
      <c r="V18" s="12"/>
      <c r="W18" s="12"/>
    </row>
    <row r="19" spans="1:23" ht="60" customHeight="1" x14ac:dyDescent="0.3">
      <c r="A19" s="11"/>
      <c r="B19" s="11"/>
      <c r="C19" s="11"/>
      <c r="D19" s="11"/>
      <c r="E19" s="12"/>
      <c r="F19" s="97"/>
      <c r="G19" s="97"/>
      <c r="H19" s="97"/>
      <c r="I19" s="97"/>
      <c r="J19" s="71"/>
      <c r="K19" s="71"/>
      <c r="L19" s="72"/>
      <c r="M19" s="72"/>
      <c r="N19" s="72"/>
      <c r="O19" s="12"/>
      <c r="P19" s="12"/>
      <c r="Q19" s="12"/>
      <c r="R19" s="72"/>
      <c r="S19" s="72"/>
      <c r="T19" s="72"/>
      <c r="U19" s="12"/>
      <c r="V19" s="12"/>
      <c r="W19" s="12"/>
    </row>
    <row r="20" spans="1:23" ht="60" customHeight="1" x14ac:dyDescent="0.3">
      <c r="A20" s="11"/>
      <c r="B20" s="11"/>
      <c r="C20" s="11"/>
      <c r="D20" s="11"/>
      <c r="E20" s="12"/>
      <c r="F20" s="72"/>
      <c r="G20" s="72"/>
      <c r="H20" s="72"/>
      <c r="I20" s="72"/>
      <c r="J20" s="71"/>
      <c r="K20" s="71"/>
      <c r="L20" s="72"/>
      <c r="M20" s="72"/>
      <c r="N20" s="72"/>
      <c r="O20" s="12"/>
      <c r="P20" s="12"/>
      <c r="Q20" s="12"/>
      <c r="R20" s="72"/>
      <c r="S20" s="72"/>
      <c r="T20" s="72"/>
      <c r="U20" s="12"/>
      <c r="V20" s="12"/>
      <c r="W20" s="12"/>
    </row>
    <row r="21" spans="1:23" ht="60" customHeight="1" x14ac:dyDescent="0.3">
      <c r="A21" s="11"/>
      <c r="B21" s="11"/>
      <c r="C21" s="11"/>
      <c r="D21" s="11"/>
      <c r="E21" s="12"/>
      <c r="F21" s="97"/>
      <c r="G21" s="97"/>
      <c r="H21" s="97"/>
      <c r="I21" s="97"/>
      <c r="J21" s="71"/>
      <c r="K21" s="71"/>
      <c r="L21" s="72"/>
      <c r="M21" s="72"/>
      <c r="N21" s="72"/>
      <c r="O21" s="12"/>
      <c r="P21" s="12"/>
      <c r="Q21" s="12"/>
      <c r="R21" s="72"/>
      <c r="S21" s="72"/>
      <c r="T21" s="72"/>
      <c r="U21" s="12"/>
      <c r="V21" s="12"/>
      <c r="W21" s="12"/>
    </row>
    <row r="22" spans="1:23" ht="60" customHeight="1" x14ac:dyDescent="0.3">
      <c r="A22" s="11"/>
      <c r="B22" s="11"/>
      <c r="C22" s="11"/>
      <c r="D22" s="11"/>
      <c r="E22" s="12"/>
      <c r="F22" s="97"/>
      <c r="G22" s="97"/>
      <c r="H22" s="97"/>
      <c r="I22" s="97"/>
      <c r="J22" s="71"/>
      <c r="K22" s="71"/>
      <c r="L22" s="72"/>
      <c r="M22" s="72"/>
      <c r="N22" s="72"/>
      <c r="O22" s="12"/>
      <c r="P22" s="12"/>
      <c r="Q22" s="12"/>
      <c r="R22" s="72"/>
      <c r="S22" s="72"/>
      <c r="T22" s="72"/>
      <c r="U22" s="12"/>
      <c r="V22" s="12"/>
      <c r="W22" s="12"/>
    </row>
    <row r="23" spans="1:23" ht="60" customHeight="1" x14ac:dyDescent="0.3">
      <c r="A23" s="11"/>
      <c r="B23" s="11"/>
      <c r="C23" s="11"/>
      <c r="D23" s="11"/>
      <c r="E23" s="12"/>
      <c r="F23" s="97"/>
      <c r="G23" s="97"/>
      <c r="H23" s="97"/>
      <c r="I23" s="97"/>
      <c r="J23" s="71"/>
      <c r="K23" s="71"/>
      <c r="L23" s="72"/>
      <c r="M23" s="72"/>
      <c r="N23" s="72"/>
      <c r="O23" s="12"/>
      <c r="P23" s="12"/>
      <c r="Q23" s="12"/>
      <c r="R23" s="72"/>
      <c r="S23" s="72"/>
      <c r="T23" s="72"/>
      <c r="U23" s="12"/>
      <c r="V23" s="12"/>
      <c r="W23" s="12"/>
    </row>
    <row r="24" spans="1:23" ht="60" customHeight="1" x14ac:dyDescent="0.3">
      <c r="A24" s="11"/>
      <c r="B24" s="11"/>
      <c r="C24" s="11"/>
      <c r="D24" s="11"/>
      <c r="E24" s="12"/>
      <c r="F24" s="97"/>
      <c r="G24" s="97"/>
      <c r="H24" s="97"/>
      <c r="I24" s="97"/>
      <c r="J24" s="71"/>
      <c r="K24" s="71"/>
      <c r="L24" s="72"/>
      <c r="M24" s="72"/>
      <c r="N24" s="72"/>
      <c r="O24" s="12"/>
      <c r="P24" s="12"/>
      <c r="Q24" s="12"/>
      <c r="R24" s="72"/>
      <c r="S24" s="72"/>
      <c r="T24" s="72"/>
      <c r="U24" s="12"/>
      <c r="V24" s="12"/>
      <c r="W24" s="12"/>
    </row>
    <row r="25" spans="1:23" ht="60" customHeight="1" x14ac:dyDescent="0.3">
      <c r="A25" s="11"/>
      <c r="B25" s="11"/>
      <c r="C25" s="11"/>
      <c r="D25" s="11"/>
      <c r="E25" s="12"/>
      <c r="F25" s="72"/>
      <c r="G25" s="72"/>
      <c r="H25" s="72"/>
      <c r="I25" s="72"/>
      <c r="J25" s="71"/>
      <c r="K25" s="71"/>
      <c r="L25" s="72"/>
      <c r="M25" s="72"/>
      <c r="N25" s="72"/>
      <c r="O25" s="12"/>
      <c r="P25" s="12"/>
      <c r="Q25" s="12"/>
      <c r="R25" s="72"/>
      <c r="S25" s="72"/>
      <c r="T25" s="72"/>
      <c r="U25" s="12"/>
      <c r="V25" s="12"/>
      <c r="W25" s="12"/>
    </row>
    <row r="26" spans="1:23" ht="60" customHeight="1" x14ac:dyDescent="0.3">
      <c r="A26" s="11"/>
      <c r="B26" s="11"/>
      <c r="C26" s="11"/>
      <c r="D26" s="11"/>
      <c r="E26" s="12"/>
      <c r="F26" s="97"/>
      <c r="G26" s="97"/>
      <c r="H26" s="97"/>
      <c r="I26" s="97"/>
      <c r="J26" s="71"/>
      <c r="K26" s="71"/>
      <c r="L26" s="72"/>
      <c r="M26" s="72"/>
      <c r="N26" s="72"/>
      <c r="O26" s="12"/>
      <c r="P26" s="12"/>
      <c r="Q26" s="12"/>
      <c r="R26" s="72"/>
      <c r="S26" s="72"/>
      <c r="T26" s="72"/>
      <c r="U26" s="12"/>
      <c r="V26" s="12"/>
      <c r="W26" s="12"/>
    </row>
    <row r="27" spans="1:23" ht="60" customHeight="1" x14ac:dyDescent="0.3">
      <c r="A27" s="11"/>
      <c r="B27" s="11"/>
      <c r="C27" s="11"/>
      <c r="D27" s="11"/>
      <c r="E27" s="12"/>
      <c r="F27" s="97"/>
      <c r="G27" s="97"/>
      <c r="H27" s="97"/>
      <c r="I27" s="97"/>
      <c r="J27" s="71"/>
      <c r="K27" s="71"/>
      <c r="L27" s="72"/>
      <c r="M27" s="72"/>
      <c r="N27" s="72"/>
      <c r="O27" s="12"/>
      <c r="P27" s="12"/>
      <c r="Q27" s="12"/>
      <c r="R27" s="72"/>
      <c r="S27" s="72"/>
      <c r="T27" s="72"/>
      <c r="U27" s="12"/>
      <c r="V27" s="12"/>
      <c r="W27" s="12"/>
    </row>
    <row r="28" spans="1:23" ht="60" customHeight="1" x14ac:dyDescent="0.3">
      <c r="A28" s="11"/>
      <c r="B28" s="11"/>
      <c r="C28" s="11"/>
      <c r="D28" s="11"/>
      <c r="E28" s="12"/>
      <c r="F28" s="72"/>
      <c r="G28" s="72"/>
      <c r="H28" s="72"/>
      <c r="I28" s="72"/>
      <c r="J28" s="71"/>
      <c r="K28" s="71"/>
      <c r="L28" s="72"/>
      <c r="M28" s="72"/>
      <c r="N28" s="72"/>
      <c r="O28" s="12"/>
      <c r="P28" s="12"/>
      <c r="Q28" s="12"/>
      <c r="R28" s="72"/>
      <c r="S28" s="72"/>
      <c r="T28" s="72"/>
      <c r="U28" s="12"/>
      <c r="V28" s="12"/>
      <c r="W28" s="12"/>
    </row>
    <row r="29" spans="1:23" ht="60" customHeight="1" x14ac:dyDescent="0.3">
      <c r="A29" s="11"/>
      <c r="B29" s="11"/>
      <c r="C29" s="11"/>
      <c r="D29" s="11"/>
      <c r="E29" s="12"/>
      <c r="F29" s="97"/>
      <c r="G29" s="97"/>
      <c r="H29" s="97"/>
      <c r="I29" s="97"/>
      <c r="J29" s="71"/>
      <c r="K29" s="71"/>
      <c r="L29" s="72"/>
      <c r="M29" s="72"/>
      <c r="N29" s="72"/>
      <c r="O29" s="12"/>
      <c r="P29" s="12"/>
      <c r="Q29" s="12"/>
      <c r="R29" s="72"/>
      <c r="S29" s="72"/>
      <c r="T29" s="72"/>
      <c r="U29" s="12"/>
      <c r="V29" s="12"/>
      <c r="W29" s="12"/>
    </row>
    <row r="30" spans="1:23" ht="60" customHeight="1" x14ac:dyDescent="0.3">
      <c r="A30" s="11"/>
      <c r="B30" s="11"/>
      <c r="C30" s="11"/>
      <c r="D30" s="11"/>
      <c r="E30" s="12"/>
      <c r="F30" s="97"/>
      <c r="G30" s="97"/>
      <c r="H30" s="97"/>
      <c r="I30" s="97"/>
      <c r="J30" s="71"/>
      <c r="K30" s="71"/>
      <c r="L30" s="72"/>
      <c r="M30" s="72"/>
      <c r="N30" s="72"/>
      <c r="O30" s="12"/>
      <c r="P30" s="12"/>
      <c r="Q30" s="12"/>
      <c r="R30" s="72"/>
      <c r="S30" s="72"/>
      <c r="T30" s="72"/>
      <c r="U30" s="12"/>
      <c r="V30" s="12"/>
      <c r="W30" s="12"/>
    </row>
    <row r="31" spans="1:23" ht="60" customHeight="1" x14ac:dyDescent="0.3">
      <c r="A31" s="11"/>
      <c r="B31" s="11"/>
      <c r="C31" s="11"/>
      <c r="D31" s="11"/>
      <c r="E31" s="12"/>
      <c r="F31" s="72"/>
      <c r="G31" s="72"/>
      <c r="H31" s="72"/>
      <c r="I31" s="72"/>
      <c r="J31" s="71"/>
      <c r="K31" s="71"/>
      <c r="L31" s="72"/>
      <c r="M31" s="72"/>
      <c r="N31" s="72"/>
      <c r="O31" s="12"/>
      <c r="P31" s="12"/>
      <c r="Q31" s="12"/>
      <c r="R31" s="72"/>
      <c r="S31" s="72"/>
      <c r="T31" s="72"/>
      <c r="U31" s="12"/>
      <c r="V31" s="12"/>
      <c r="W31" s="12"/>
    </row>
    <row r="32" spans="1:23" ht="60" customHeight="1" x14ac:dyDescent="0.3">
      <c r="A32" s="11"/>
      <c r="B32" s="11"/>
      <c r="C32" s="11"/>
      <c r="D32" s="11"/>
      <c r="E32" s="12"/>
      <c r="F32" s="97"/>
      <c r="G32" s="97"/>
      <c r="H32" s="97"/>
      <c r="I32" s="97"/>
      <c r="J32" s="71"/>
      <c r="K32" s="71"/>
      <c r="L32" s="72"/>
      <c r="M32" s="72"/>
      <c r="N32" s="72"/>
      <c r="O32" s="12"/>
      <c r="P32" s="12"/>
      <c r="Q32" s="12"/>
      <c r="R32" s="72"/>
      <c r="S32" s="72"/>
      <c r="T32" s="72"/>
      <c r="U32" s="12"/>
      <c r="V32" s="12"/>
      <c r="W32" s="12"/>
    </row>
    <row r="33" spans="1:23" ht="60" customHeight="1" x14ac:dyDescent="0.3">
      <c r="A33" s="11"/>
      <c r="B33" s="11"/>
      <c r="C33" s="11"/>
      <c r="D33" s="11"/>
      <c r="E33" s="12"/>
      <c r="F33" s="97"/>
      <c r="G33" s="97"/>
      <c r="H33" s="97"/>
      <c r="I33" s="97"/>
      <c r="J33" s="71"/>
      <c r="K33" s="71"/>
      <c r="L33" s="72"/>
      <c r="M33" s="72"/>
      <c r="N33" s="72"/>
      <c r="O33" s="12"/>
      <c r="P33" s="12"/>
      <c r="Q33" s="12"/>
      <c r="R33" s="72"/>
      <c r="S33" s="72"/>
      <c r="T33" s="72"/>
      <c r="U33" s="12"/>
      <c r="V33" s="12"/>
      <c r="W33" s="12"/>
    </row>
    <row r="34" spans="1:23" ht="60" customHeight="1" x14ac:dyDescent="0.3">
      <c r="A34" s="11"/>
      <c r="B34" s="11"/>
      <c r="C34" s="11"/>
      <c r="D34" s="11"/>
      <c r="E34" s="12"/>
      <c r="F34" s="97"/>
      <c r="G34" s="97"/>
      <c r="H34" s="97"/>
      <c r="I34" s="97"/>
      <c r="J34" s="71"/>
      <c r="K34" s="71"/>
      <c r="L34" s="72"/>
      <c r="M34" s="72"/>
      <c r="N34" s="72"/>
      <c r="O34" s="12"/>
      <c r="P34" s="12"/>
      <c r="Q34" s="12"/>
      <c r="R34" s="72"/>
      <c r="S34" s="72"/>
      <c r="T34" s="72"/>
      <c r="U34" s="12"/>
      <c r="V34" s="12"/>
      <c r="W34" s="12"/>
    </row>
    <row r="35" spans="1:23" ht="60" customHeight="1" x14ac:dyDescent="0.3">
      <c r="A35" s="11"/>
      <c r="B35" s="11"/>
      <c r="C35" s="11"/>
      <c r="D35" s="11"/>
      <c r="E35" s="12"/>
      <c r="F35" s="97"/>
      <c r="G35" s="97"/>
      <c r="H35" s="97"/>
      <c r="I35" s="97"/>
      <c r="J35" s="71"/>
      <c r="K35" s="71"/>
      <c r="L35" s="72"/>
      <c r="M35" s="72"/>
      <c r="N35" s="72"/>
      <c r="O35" s="12"/>
      <c r="P35" s="12"/>
      <c r="Q35" s="12"/>
      <c r="R35" s="72"/>
      <c r="S35" s="72"/>
      <c r="T35" s="72"/>
      <c r="U35" s="12"/>
      <c r="V35" s="12"/>
      <c r="W35" s="12"/>
    </row>
    <row r="36" spans="1:23" ht="60" customHeight="1" x14ac:dyDescent="0.3">
      <c r="A36" s="11"/>
      <c r="B36" s="11"/>
      <c r="C36" s="11"/>
      <c r="D36" s="11"/>
      <c r="E36" s="12"/>
      <c r="F36" s="72"/>
      <c r="G36" s="72"/>
      <c r="H36" s="72"/>
      <c r="I36" s="72"/>
      <c r="J36" s="71"/>
      <c r="K36" s="71"/>
      <c r="L36" s="72"/>
      <c r="M36" s="72"/>
      <c r="N36" s="72"/>
      <c r="O36" s="12"/>
      <c r="P36" s="12"/>
      <c r="Q36" s="12"/>
      <c r="R36" s="72"/>
      <c r="S36" s="72"/>
      <c r="T36" s="72"/>
      <c r="U36" s="12"/>
      <c r="V36" s="12"/>
      <c r="W36" s="12"/>
    </row>
    <row r="37" spans="1:23" ht="60" customHeight="1" x14ac:dyDescent="0.3">
      <c r="A37" s="11"/>
      <c r="B37" s="11"/>
      <c r="C37" s="11"/>
      <c r="D37" s="11"/>
      <c r="E37" s="12"/>
      <c r="F37" s="97"/>
      <c r="G37" s="97"/>
      <c r="H37" s="97"/>
      <c r="I37" s="97"/>
      <c r="J37" s="71"/>
      <c r="K37" s="71"/>
      <c r="L37" s="72"/>
      <c r="M37" s="72"/>
      <c r="N37" s="72"/>
      <c r="O37" s="12"/>
      <c r="P37" s="12"/>
      <c r="Q37" s="12"/>
      <c r="R37" s="72"/>
      <c r="S37" s="72"/>
      <c r="T37" s="72"/>
      <c r="U37" s="12"/>
      <c r="V37" s="12"/>
      <c r="W37" s="12"/>
    </row>
    <row r="38" spans="1:23" ht="60" customHeight="1" x14ac:dyDescent="0.3">
      <c r="A38" s="11"/>
      <c r="B38" s="11"/>
      <c r="C38" s="11"/>
      <c r="D38" s="11"/>
      <c r="E38" s="12"/>
      <c r="F38" s="97"/>
      <c r="G38" s="97"/>
      <c r="H38" s="97"/>
      <c r="I38" s="97"/>
      <c r="J38" s="71"/>
      <c r="K38" s="71"/>
      <c r="L38" s="72"/>
      <c r="M38" s="72"/>
      <c r="N38" s="72"/>
      <c r="O38" s="12"/>
      <c r="P38" s="12"/>
      <c r="Q38" s="12"/>
      <c r="R38" s="72"/>
      <c r="S38" s="72"/>
      <c r="T38" s="72"/>
      <c r="U38" s="12"/>
      <c r="V38" s="12"/>
      <c r="W38" s="12"/>
    </row>
    <row r="39" spans="1:23" ht="60" customHeight="1" x14ac:dyDescent="0.3">
      <c r="A39" s="11"/>
      <c r="B39" s="11"/>
      <c r="C39" s="11"/>
      <c r="D39" s="11"/>
      <c r="E39" s="12"/>
      <c r="F39" s="72"/>
      <c r="G39" s="72"/>
      <c r="H39" s="72"/>
      <c r="I39" s="72"/>
      <c r="J39" s="71"/>
      <c r="K39" s="71"/>
      <c r="L39" s="72"/>
      <c r="M39" s="72"/>
      <c r="N39" s="72"/>
      <c r="O39" s="12"/>
      <c r="P39" s="12"/>
      <c r="Q39" s="12"/>
      <c r="R39" s="72"/>
      <c r="S39" s="72"/>
      <c r="T39" s="72"/>
      <c r="U39" s="12"/>
      <c r="V39" s="12"/>
      <c r="W39" s="12"/>
    </row>
    <row r="40" spans="1:23" ht="60" customHeight="1" x14ac:dyDescent="0.3">
      <c r="A40" s="11"/>
      <c r="B40" s="11"/>
      <c r="C40" s="11"/>
      <c r="D40" s="11"/>
      <c r="E40" s="12"/>
      <c r="F40" s="97"/>
      <c r="G40" s="97"/>
      <c r="H40" s="97"/>
      <c r="I40" s="97"/>
      <c r="J40" s="71"/>
      <c r="K40" s="71"/>
      <c r="L40" s="72"/>
      <c r="M40" s="72"/>
      <c r="N40" s="72"/>
      <c r="O40" s="12"/>
      <c r="P40" s="12"/>
      <c r="Q40" s="12"/>
      <c r="R40" s="72"/>
      <c r="S40" s="72"/>
      <c r="T40" s="72"/>
      <c r="U40" s="12"/>
      <c r="V40" s="12"/>
      <c r="W40" s="12"/>
    </row>
    <row r="41" spans="1:23" ht="60" customHeight="1" x14ac:dyDescent="0.3">
      <c r="A41" s="11"/>
      <c r="B41" s="11"/>
      <c r="C41" s="11"/>
      <c r="D41" s="11"/>
      <c r="E41" s="12"/>
      <c r="F41" s="97"/>
      <c r="G41" s="97"/>
      <c r="H41" s="97"/>
      <c r="I41" s="97"/>
      <c r="J41" s="71"/>
      <c r="K41" s="71"/>
      <c r="L41" s="72"/>
      <c r="M41" s="72"/>
      <c r="N41" s="72"/>
      <c r="O41" s="12"/>
      <c r="P41" s="12"/>
      <c r="Q41" s="12"/>
      <c r="R41" s="72"/>
      <c r="S41" s="72"/>
      <c r="T41" s="72"/>
      <c r="U41" s="12"/>
      <c r="V41" s="12"/>
      <c r="W41" s="12"/>
    </row>
    <row r="42" spans="1:23" ht="60" customHeight="1" x14ac:dyDescent="0.3">
      <c r="A42" s="11"/>
      <c r="B42" s="11"/>
      <c r="C42" s="11"/>
      <c r="D42" s="11"/>
      <c r="E42" s="12"/>
      <c r="F42" s="97"/>
      <c r="G42" s="97"/>
      <c r="H42" s="97"/>
      <c r="I42" s="97"/>
      <c r="J42" s="71"/>
      <c r="K42" s="71"/>
      <c r="L42" s="72"/>
      <c r="M42" s="72"/>
      <c r="N42" s="72"/>
      <c r="O42" s="12"/>
      <c r="P42" s="12"/>
      <c r="Q42" s="12"/>
      <c r="R42" s="72"/>
      <c r="S42" s="72"/>
      <c r="T42" s="72"/>
      <c r="U42" s="12"/>
      <c r="V42" s="12"/>
      <c r="W42" s="12"/>
    </row>
    <row r="125" spans="9:9" x14ac:dyDescent="0.3">
      <c r="I125" t="s">
        <v>10</v>
      </c>
    </row>
  </sheetData>
  <mergeCells count="158">
    <mergeCell ref="F41:I41"/>
    <mergeCell ref="J41:K41"/>
    <mergeCell ref="L41:N41"/>
    <mergeCell ref="R41:T41"/>
    <mergeCell ref="F42:I42"/>
    <mergeCell ref="J42:K42"/>
    <mergeCell ref="L42:N42"/>
    <mergeCell ref="R42:T42"/>
    <mergeCell ref="F39:I39"/>
    <mergeCell ref="J39:K39"/>
    <mergeCell ref="L39:N39"/>
    <mergeCell ref="R39:T39"/>
    <mergeCell ref="F40:I40"/>
    <mergeCell ref="J40:K40"/>
    <mergeCell ref="L40:N40"/>
    <mergeCell ref="R40:T40"/>
    <mergeCell ref="F37:I37"/>
    <mergeCell ref="J37:K37"/>
    <mergeCell ref="L37:N37"/>
    <mergeCell ref="R37:T37"/>
    <mergeCell ref="F38:I38"/>
    <mergeCell ref="J38:K38"/>
    <mergeCell ref="L38:N38"/>
    <mergeCell ref="R38:T38"/>
    <mergeCell ref="F35:I35"/>
    <mergeCell ref="J35:K35"/>
    <mergeCell ref="L35:N35"/>
    <mergeCell ref="R35:T35"/>
    <mergeCell ref="F36:I36"/>
    <mergeCell ref="J36:K36"/>
    <mergeCell ref="L36:N36"/>
    <mergeCell ref="R36:T36"/>
    <mergeCell ref="F33:I33"/>
    <mergeCell ref="J33:K33"/>
    <mergeCell ref="L33:N33"/>
    <mergeCell ref="R33:T33"/>
    <mergeCell ref="F34:I34"/>
    <mergeCell ref="J34:K34"/>
    <mergeCell ref="L34:N34"/>
    <mergeCell ref="R34:T34"/>
    <mergeCell ref="F31:I31"/>
    <mergeCell ref="J31:K31"/>
    <mergeCell ref="L31:N31"/>
    <mergeCell ref="R31:T31"/>
    <mergeCell ref="F32:I32"/>
    <mergeCell ref="J32:K32"/>
    <mergeCell ref="L32:N32"/>
    <mergeCell ref="R32:T32"/>
    <mergeCell ref="F29:I29"/>
    <mergeCell ref="J29:K29"/>
    <mergeCell ref="L29:N29"/>
    <mergeCell ref="R29:T29"/>
    <mergeCell ref="F30:I30"/>
    <mergeCell ref="J30:K30"/>
    <mergeCell ref="L30:N30"/>
    <mergeCell ref="R30:T30"/>
    <mergeCell ref="F27:I27"/>
    <mergeCell ref="J27:K27"/>
    <mergeCell ref="L27:N27"/>
    <mergeCell ref="R27:T27"/>
    <mergeCell ref="F28:I28"/>
    <mergeCell ref="J28:K28"/>
    <mergeCell ref="L28:N28"/>
    <mergeCell ref="R28:T28"/>
    <mergeCell ref="F25:I25"/>
    <mergeCell ref="J25:K25"/>
    <mergeCell ref="L25:N25"/>
    <mergeCell ref="R25:T25"/>
    <mergeCell ref="F26:I26"/>
    <mergeCell ref="J26:K26"/>
    <mergeCell ref="L26:N26"/>
    <mergeCell ref="R26:T26"/>
    <mergeCell ref="F23:I23"/>
    <mergeCell ref="J23:K23"/>
    <mergeCell ref="L23:N23"/>
    <mergeCell ref="R23:T23"/>
    <mergeCell ref="F24:I24"/>
    <mergeCell ref="J24:K24"/>
    <mergeCell ref="L24:N24"/>
    <mergeCell ref="R24:T24"/>
    <mergeCell ref="F21:I21"/>
    <mergeCell ref="J21:K21"/>
    <mergeCell ref="L21:N21"/>
    <mergeCell ref="R21:T21"/>
    <mergeCell ref="F22:I22"/>
    <mergeCell ref="J22:K22"/>
    <mergeCell ref="L22:N22"/>
    <mergeCell ref="R22:T22"/>
    <mergeCell ref="F19:I19"/>
    <mergeCell ref="J19:K19"/>
    <mergeCell ref="L19:N19"/>
    <mergeCell ref="R19:T19"/>
    <mergeCell ref="F20:I20"/>
    <mergeCell ref="J20:K20"/>
    <mergeCell ref="L20:N20"/>
    <mergeCell ref="R20:T20"/>
    <mergeCell ref="F17:I17"/>
    <mergeCell ref="J17:K17"/>
    <mergeCell ref="L17:N17"/>
    <mergeCell ref="R17:T17"/>
    <mergeCell ref="F18:I18"/>
    <mergeCell ref="J18:K18"/>
    <mergeCell ref="L18:N18"/>
    <mergeCell ref="R18:T18"/>
    <mergeCell ref="F15:I15"/>
    <mergeCell ref="J15:K15"/>
    <mergeCell ref="L15:N15"/>
    <mergeCell ref="R15:T15"/>
    <mergeCell ref="F16:I16"/>
    <mergeCell ref="J16:K16"/>
    <mergeCell ref="L16:N16"/>
    <mergeCell ref="R16:T16"/>
    <mergeCell ref="F13:I13"/>
    <mergeCell ref="J13:K13"/>
    <mergeCell ref="L13:N13"/>
    <mergeCell ref="R13:T13"/>
    <mergeCell ref="F14:I14"/>
    <mergeCell ref="J14:K14"/>
    <mergeCell ref="L14:N14"/>
    <mergeCell ref="R14:T14"/>
    <mergeCell ref="F11:I11"/>
    <mergeCell ref="J11:K11"/>
    <mergeCell ref="L11:N11"/>
    <mergeCell ref="R11:T11"/>
    <mergeCell ref="F12:I12"/>
    <mergeCell ref="J12:K12"/>
    <mergeCell ref="L12:N12"/>
    <mergeCell ref="R12:T12"/>
    <mergeCell ref="F9:I9"/>
    <mergeCell ref="J9:K9"/>
    <mergeCell ref="L9:N9"/>
    <mergeCell ref="R9:T9"/>
    <mergeCell ref="F10:I10"/>
    <mergeCell ref="J10:K10"/>
    <mergeCell ref="L10:N10"/>
    <mergeCell ref="R10:T10"/>
    <mergeCell ref="O6:Q6"/>
    <mergeCell ref="R6:T8"/>
    <mergeCell ref="U6:W6"/>
    <mergeCell ref="B7:B8"/>
    <mergeCell ref="C7:C8"/>
    <mergeCell ref="D7:D8"/>
    <mergeCell ref="A6:A8"/>
    <mergeCell ref="B6:D6"/>
    <mergeCell ref="E6:E8"/>
    <mergeCell ref="F6:I8"/>
    <mergeCell ref="J6:K8"/>
    <mergeCell ref="L6:N8"/>
    <mergeCell ref="A1:T1"/>
    <mergeCell ref="B2:E2"/>
    <mergeCell ref="F2:Q5"/>
    <mergeCell ref="R2:S5"/>
    <mergeCell ref="U2:W2"/>
    <mergeCell ref="B3:E3"/>
    <mergeCell ref="T3:T5"/>
    <mergeCell ref="U3:W5"/>
    <mergeCell ref="B4:E4"/>
    <mergeCell ref="B5:E5"/>
  </mergeCells>
  <phoneticPr fontId="4" type="noConversion"/>
  <conditionalFormatting sqref="Q9">
    <cfRule type="cellIs" dxfId="35" priority="1" operator="between">
      <formula>15</formula>
      <formula>20</formula>
    </cfRule>
    <cfRule type="cellIs" dxfId="34" priority="2" operator="between">
      <formula>9</formula>
      <formula>12</formula>
    </cfRule>
    <cfRule type="cellIs" dxfId="33" priority="3" operator="equal">
      <formula>8</formula>
    </cfRule>
  </conditionalFormatting>
  <conditionalFormatting sqref="W10:W42 Q11:Q42">
    <cfRule type="cellIs" dxfId="32" priority="7" operator="between">
      <formula>15</formula>
      <formula>20</formula>
    </cfRule>
    <cfRule type="cellIs" dxfId="31" priority="8" operator="between">
      <formula>9</formula>
      <formula>12</formula>
    </cfRule>
    <cfRule type="cellIs" dxfId="30" priority="9" operator="equal">
      <formula>8</formula>
    </cfRule>
  </conditionalFormatting>
  <pageMargins left="0.23622047244094491" right="0.23622047244094491" top="0.74803149606299213" bottom="0.74803149606299213" header="0.31496062992125984" footer="0.31496062992125984"/>
  <pageSetup paperSize="9" scale="50" orientation="landscape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'D:\Desktop\문서\5.안전관리계획서,위험성평가\2024\폐기물처리장 통풍창 폐쇄작업\[위험성평가.xlsx]데이터필드'!#REF!</xm:f>
          </x14:formula1>
          <xm:sqref>O10 Q10</xm:sqref>
        </x14:dataValidation>
        <x14:dataValidation type="list" allowBlank="1" showInputMessage="1" showErrorMessage="1" xr:uid="{00000000-0002-0000-0300-000001000000}">
          <x14:formula1>
            <xm:f>'D:\Desktop\문서\14.요청서류\[유해위험요인 분류표 및 위험성평가표_차량기지 윌앤비전0324_최종_수정본.xlsx]데이터필드'!#REF!</xm:f>
          </x14:formula1>
          <xm:sqref>D9:D10 U9:W9 P9:P10 J9:K10</xm:sqref>
        </x14:dataValidation>
        <x14:dataValidation type="list" allowBlank="1" showInputMessage="1" showErrorMessage="1" xr:uid="{00000000-0002-0000-0300-000002000000}">
          <x14:formula1>
            <xm:f>'D:\Desktop\위험성평가\붙임1. 유해위험요인 분류표 및 위험성평가표(23년 네오트랜스)\협력사\윌앤비전\[유해위험요인 분류표 및 위험성평가표_윌앤비전(기지)_2024.xlsx]데이터필드'!#REF!</xm:f>
          </x14:formula1>
          <xm:sqref>D13:D42 U11:V42 O11:P42 J11:K42</xm:sqref>
        </x14:dataValidation>
        <x14:dataValidation type="list" allowBlank="1" showInputMessage="1" showErrorMessage="1" xr:uid="{00000000-0002-0000-0300-000003000000}">
          <x14:formula1>
            <xm:f>'D:\Desktop\문서\5.안전관리계획서,위험성평가\2024\폐기물처리장 통풍창 폐쇄작업\[위험성평가.xlsx]데이터필드'!#REF!</xm:f>
          </x14:formula1>
          <xm:sqref>D11:D12 U10:V10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 tint="-0.249977111117893"/>
  </sheetPr>
  <dimension ref="A1:W124"/>
  <sheetViews>
    <sheetView view="pageBreakPreview" zoomScale="85" zoomScaleNormal="100" zoomScaleSheetLayoutView="85" workbookViewId="0">
      <pane ySplit="8" topLeftCell="A9" activePane="bottomLeft" state="frozen"/>
      <selection activeCell="D14" sqref="D14"/>
      <selection pane="bottomLeft" activeCell="D14" sqref="D14"/>
    </sheetView>
  </sheetViews>
  <sheetFormatPr defaultRowHeight="16.5" x14ac:dyDescent="0.3"/>
  <cols>
    <col min="1" max="1" width="15.625" customWidth="1"/>
    <col min="2" max="4" width="13.625" customWidth="1"/>
    <col min="5" max="5" width="13.625" style="9" customWidth="1"/>
    <col min="6" max="9" width="13.625" customWidth="1"/>
    <col min="10" max="11" width="5.625" customWidth="1"/>
    <col min="12" max="14" width="13.625" customWidth="1"/>
    <col min="15" max="17" width="7.625" customWidth="1"/>
    <col min="18" max="19" width="9.625" customWidth="1"/>
    <col min="20" max="23" width="10.625" customWidth="1"/>
  </cols>
  <sheetData>
    <row r="1" spans="1:23" ht="30" customHeight="1" x14ac:dyDescent="0.3">
      <c r="A1" s="37" t="s">
        <v>2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4"/>
      <c r="V1" s="4"/>
      <c r="W1" s="4"/>
    </row>
    <row r="2" spans="1:23" ht="39.950000000000003" customHeight="1" x14ac:dyDescent="0.3">
      <c r="A2" s="13" t="s">
        <v>16</v>
      </c>
      <c r="B2" s="58" t="s">
        <v>88</v>
      </c>
      <c r="C2" s="59"/>
      <c r="D2" s="59"/>
      <c r="E2" s="60"/>
      <c r="F2" s="73" t="s">
        <v>4</v>
      </c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4" t="s">
        <v>24</v>
      </c>
      <c r="S2" s="75"/>
      <c r="T2" s="14" t="s">
        <v>22</v>
      </c>
      <c r="U2" s="71"/>
      <c r="V2" s="71"/>
      <c r="W2" s="71"/>
    </row>
    <row r="3" spans="1:23" ht="30" customHeight="1" x14ac:dyDescent="0.3">
      <c r="A3" s="13" t="s">
        <v>18</v>
      </c>
      <c r="B3" s="58" t="s">
        <v>130</v>
      </c>
      <c r="C3" s="59"/>
      <c r="D3" s="59"/>
      <c r="E3" s="60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6"/>
      <c r="S3" s="77"/>
      <c r="T3" s="71" t="s">
        <v>23</v>
      </c>
      <c r="U3" s="71" t="s">
        <v>123</v>
      </c>
      <c r="V3" s="71"/>
      <c r="W3" s="71"/>
    </row>
    <row r="4" spans="1:23" ht="30" customHeight="1" x14ac:dyDescent="0.3">
      <c r="A4" s="13" t="s">
        <v>19</v>
      </c>
      <c r="B4" s="58" t="s">
        <v>97</v>
      </c>
      <c r="C4" s="59"/>
      <c r="D4" s="59"/>
      <c r="E4" s="60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6"/>
      <c r="S4" s="77"/>
      <c r="T4" s="71"/>
      <c r="U4" s="71"/>
      <c r="V4" s="71"/>
      <c r="W4" s="71"/>
    </row>
    <row r="5" spans="1:23" ht="30" customHeight="1" x14ac:dyDescent="0.3">
      <c r="A5" s="13" t="s">
        <v>0</v>
      </c>
      <c r="B5" s="58" t="s">
        <v>133</v>
      </c>
      <c r="C5" s="59"/>
      <c r="D5" s="59"/>
      <c r="E5" s="60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8"/>
      <c r="S5" s="79"/>
      <c r="T5" s="71"/>
      <c r="U5" s="71"/>
      <c r="V5" s="71"/>
      <c r="W5" s="71"/>
    </row>
    <row r="6" spans="1:23" ht="39.950000000000003" customHeight="1" x14ac:dyDescent="0.3">
      <c r="A6" s="88" t="s">
        <v>20</v>
      </c>
      <c r="B6" s="58" t="s">
        <v>11</v>
      </c>
      <c r="C6" s="59"/>
      <c r="D6" s="60"/>
      <c r="E6" s="88" t="s">
        <v>81</v>
      </c>
      <c r="F6" s="91" t="s">
        <v>82</v>
      </c>
      <c r="G6" s="83"/>
      <c r="H6" s="83"/>
      <c r="I6" s="92"/>
      <c r="J6" s="91" t="s">
        <v>5</v>
      </c>
      <c r="K6" s="92"/>
      <c r="L6" s="91" t="s">
        <v>15</v>
      </c>
      <c r="M6" s="83"/>
      <c r="N6" s="83"/>
      <c r="O6" s="80" t="s">
        <v>8</v>
      </c>
      <c r="P6" s="81"/>
      <c r="Q6" s="82"/>
      <c r="R6" s="83" t="s">
        <v>3</v>
      </c>
      <c r="S6" s="83"/>
      <c r="T6" s="83"/>
      <c r="U6" s="80" t="s">
        <v>21</v>
      </c>
      <c r="V6" s="81"/>
      <c r="W6" s="82"/>
    </row>
    <row r="7" spans="1:23" ht="30" customHeight="1" x14ac:dyDescent="0.3">
      <c r="A7" s="90"/>
      <c r="B7" s="86" t="s">
        <v>12</v>
      </c>
      <c r="C7" s="88" t="s">
        <v>13</v>
      </c>
      <c r="D7" s="86" t="s">
        <v>14</v>
      </c>
      <c r="E7" s="90"/>
      <c r="F7" s="93"/>
      <c r="G7" s="84"/>
      <c r="H7" s="84"/>
      <c r="I7" s="94"/>
      <c r="J7" s="93"/>
      <c r="K7" s="94"/>
      <c r="L7" s="93"/>
      <c r="M7" s="84"/>
      <c r="N7" s="84"/>
      <c r="O7" s="15" t="s">
        <v>6</v>
      </c>
      <c r="P7" s="15" t="s">
        <v>7</v>
      </c>
      <c r="Q7" s="15" t="s">
        <v>25</v>
      </c>
      <c r="R7" s="84"/>
      <c r="S7" s="84"/>
      <c r="T7" s="84"/>
      <c r="U7" s="15" t="s">
        <v>6</v>
      </c>
      <c r="V7" s="15" t="s">
        <v>7</v>
      </c>
      <c r="W7" s="15" t="s">
        <v>1</v>
      </c>
    </row>
    <row r="8" spans="1:23" ht="30" customHeight="1" x14ac:dyDescent="0.3">
      <c r="A8" s="89"/>
      <c r="B8" s="87"/>
      <c r="C8" s="89"/>
      <c r="D8" s="87"/>
      <c r="E8" s="89"/>
      <c r="F8" s="95"/>
      <c r="G8" s="85"/>
      <c r="H8" s="85"/>
      <c r="I8" s="96"/>
      <c r="J8" s="95"/>
      <c r="K8" s="96"/>
      <c r="L8" s="95"/>
      <c r="M8" s="85"/>
      <c r="N8" s="85"/>
      <c r="O8" s="16" t="s">
        <v>26</v>
      </c>
      <c r="P8" s="16" t="s">
        <v>27</v>
      </c>
      <c r="Q8" s="16" t="s">
        <v>28</v>
      </c>
      <c r="R8" s="85"/>
      <c r="S8" s="85"/>
      <c r="T8" s="85"/>
      <c r="U8" s="16" t="s">
        <v>26</v>
      </c>
      <c r="V8" s="16" t="s">
        <v>27</v>
      </c>
      <c r="W8" s="16" t="s">
        <v>28</v>
      </c>
    </row>
    <row r="9" spans="1:23" ht="60" customHeight="1" x14ac:dyDescent="0.3">
      <c r="A9" s="18" t="s">
        <v>98</v>
      </c>
      <c r="B9" s="11" t="s">
        <v>17</v>
      </c>
      <c r="C9" s="11" t="s">
        <v>17</v>
      </c>
      <c r="D9" s="11"/>
      <c r="E9" s="24" t="s">
        <v>132</v>
      </c>
      <c r="F9" s="72" t="s">
        <v>99</v>
      </c>
      <c r="G9" s="72"/>
      <c r="H9" s="72"/>
      <c r="I9" s="72"/>
      <c r="J9" s="71" t="s">
        <v>85</v>
      </c>
      <c r="K9" s="71"/>
      <c r="L9" s="72" t="s">
        <v>100</v>
      </c>
      <c r="M9" s="72"/>
      <c r="N9" s="72"/>
      <c r="O9" s="24">
        <v>2</v>
      </c>
      <c r="P9" s="24">
        <v>2</v>
      </c>
      <c r="Q9" s="24">
        <f>O9*P9</f>
        <v>4</v>
      </c>
      <c r="R9" s="72"/>
      <c r="S9" s="72"/>
      <c r="T9" s="72"/>
      <c r="U9" s="24"/>
      <c r="V9" s="24"/>
      <c r="W9" s="24"/>
    </row>
    <row r="10" spans="1:23" ht="60" customHeight="1" x14ac:dyDescent="0.3">
      <c r="A10" s="18"/>
      <c r="B10" s="11"/>
      <c r="C10" s="11"/>
      <c r="D10" s="11"/>
      <c r="E10" s="12"/>
      <c r="F10" s="72"/>
      <c r="G10" s="72"/>
      <c r="H10" s="72"/>
      <c r="I10" s="72"/>
      <c r="J10" s="71"/>
      <c r="K10" s="71"/>
      <c r="L10" s="72"/>
      <c r="M10" s="72"/>
      <c r="N10" s="72"/>
      <c r="O10" s="12"/>
      <c r="P10" s="12"/>
      <c r="Q10" s="12"/>
      <c r="R10" s="72"/>
      <c r="S10" s="72"/>
      <c r="T10" s="72"/>
      <c r="U10" s="12"/>
      <c r="V10" s="12"/>
      <c r="W10" s="12"/>
    </row>
    <row r="11" spans="1:23" ht="60" customHeight="1" x14ac:dyDescent="0.3">
      <c r="A11" s="18"/>
      <c r="B11" s="11"/>
      <c r="C11" s="11"/>
      <c r="D11" s="11"/>
      <c r="E11" s="12"/>
      <c r="F11" s="72"/>
      <c r="G11" s="72"/>
      <c r="H11" s="72"/>
      <c r="I11" s="72"/>
      <c r="J11" s="71"/>
      <c r="K11" s="71"/>
      <c r="L11" s="72"/>
      <c r="M11" s="72"/>
      <c r="N11" s="72"/>
      <c r="O11" s="12"/>
      <c r="P11" s="12"/>
      <c r="Q11" s="12"/>
      <c r="R11" s="72"/>
      <c r="S11" s="72"/>
      <c r="T11" s="72"/>
      <c r="U11" s="12"/>
      <c r="V11" s="12"/>
      <c r="W11" s="12"/>
    </row>
    <row r="12" spans="1:23" ht="60" customHeight="1" x14ac:dyDescent="0.3">
      <c r="A12" s="18"/>
      <c r="B12" s="11"/>
      <c r="C12" s="11"/>
      <c r="D12" s="11"/>
      <c r="E12" s="12"/>
      <c r="F12" s="72"/>
      <c r="G12" s="72"/>
      <c r="H12" s="72"/>
      <c r="I12" s="72"/>
      <c r="J12" s="71"/>
      <c r="K12" s="71"/>
      <c r="L12" s="72"/>
      <c r="M12" s="72"/>
      <c r="N12" s="72"/>
      <c r="O12" s="12"/>
      <c r="P12" s="12"/>
      <c r="Q12" s="12"/>
      <c r="R12" s="72"/>
      <c r="S12" s="72"/>
      <c r="T12" s="72"/>
      <c r="U12" s="12"/>
      <c r="V12" s="12"/>
      <c r="W12" s="12"/>
    </row>
    <row r="13" spans="1:23" ht="60" customHeight="1" x14ac:dyDescent="0.3">
      <c r="A13" s="18"/>
      <c r="B13" s="11"/>
      <c r="C13" s="11"/>
      <c r="D13" s="11"/>
      <c r="E13" s="12"/>
      <c r="F13" s="72"/>
      <c r="G13" s="72"/>
      <c r="H13" s="72"/>
      <c r="I13" s="72"/>
      <c r="J13" s="71"/>
      <c r="K13" s="71"/>
      <c r="L13" s="72"/>
      <c r="M13" s="72"/>
      <c r="N13" s="72"/>
      <c r="O13" s="12"/>
      <c r="P13" s="12"/>
      <c r="Q13" s="12"/>
      <c r="R13" s="72"/>
      <c r="S13" s="72"/>
      <c r="T13" s="72"/>
      <c r="U13" s="12"/>
      <c r="V13" s="12"/>
      <c r="W13" s="12"/>
    </row>
    <row r="14" spans="1:23" ht="60" customHeight="1" x14ac:dyDescent="0.3">
      <c r="A14" s="11"/>
      <c r="B14" s="11"/>
      <c r="C14" s="11"/>
      <c r="D14" s="11"/>
      <c r="E14" s="12"/>
      <c r="F14" s="97"/>
      <c r="G14" s="97"/>
      <c r="H14" s="97"/>
      <c r="I14" s="97"/>
      <c r="J14" s="71"/>
      <c r="K14" s="71"/>
      <c r="L14" s="72"/>
      <c r="M14" s="72"/>
      <c r="N14" s="72"/>
      <c r="O14" s="12"/>
      <c r="P14" s="12"/>
      <c r="Q14" s="12"/>
      <c r="R14" s="72"/>
      <c r="S14" s="72"/>
      <c r="T14" s="72"/>
      <c r="U14" s="12"/>
      <c r="V14" s="12"/>
      <c r="W14" s="12"/>
    </row>
    <row r="15" spans="1:23" ht="60" customHeight="1" x14ac:dyDescent="0.3">
      <c r="A15" s="11"/>
      <c r="B15" s="11"/>
      <c r="C15" s="11"/>
      <c r="D15" s="11"/>
      <c r="E15" s="12"/>
      <c r="F15" s="72"/>
      <c r="G15" s="72"/>
      <c r="H15" s="72"/>
      <c r="I15" s="72"/>
      <c r="J15" s="71"/>
      <c r="K15" s="71"/>
      <c r="L15" s="72"/>
      <c r="M15" s="72"/>
      <c r="N15" s="72"/>
      <c r="O15" s="12"/>
      <c r="P15" s="12"/>
      <c r="Q15" s="12"/>
      <c r="R15" s="72"/>
      <c r="S15" s="72"/>
      <c r="T15" s="72"/>
      <c r="U15" s="12"/>
      <c r="V15" s="12"/>
      <c r="W15" s="12"/>
    </row>
    <row r="16" spans="1:23" ht="60" customHeight="1" x14ac:dyDescent="0.3">
      <c r="A16" s="11"/>
      <c r="B16" s="11"/>
      <c r="C16" s="11"/>
      <c r="D16" s="11"/>
      <c r="E16" s="12"/>
      <c r="F16" s="72"/>
      <c r="G16" s="72"/>
      <c r="H16" s="72"/>
      <c r="I16" s="72"/>
      <c r="J16" s="71"/>
      <c r="K16" s="71"/>
      <c r="L16" s="72"/>
      <c r="M16" s="72"/>
      <c r="N16" s="72"/>
      <c r="O16" s="12"/>
      <c r="P16" s="12"/>
      <c r="Q16" s="12"/>
      <c r="R16" s="72"/>
      <c r="S16" s="72"/>
      <c r="T16" s="72"/>
      <c r="U16" s="12"/>
      <c r="V16" s="12"/>
      <c r="W16" s="12"/>
    </row>
    <row r="17" spans="1:23" ht="60" customHeight="1" x14ac:dyDescent="0.3">
      <c r="A17" s="11"/>
      <c r="B17" s="11"/>
      <c r="C17" s="11"/>
      <c r="D17" s="11"/>
      <c r="E17" s="12"/>
      <c r="F17" s="97"/>
      <c r="G17" s="97"/>
      <c r="H17" s="97"/>
      <c r="I17" s="97"/>
      <c r="J17" s="71"/>
      <c r="K17" s="71"/>
      <c r="L17" s="72"/>
      <c r="M17" s="72"/>
      <c r="N17" s="72"/>
      <c r="O17" s="12"/>
      <c r="P17" s="12"/>
      <c r="Q17" s="12"/>
      <c r="R17" s="72"/>
      <c r="S17" s="72"/>
      <c r="T17" s="72"/>
      <c r="U17" s="12"/>
      <c r="V17" s="12"/>
      <c r="W17" s="12"/>
    </row>
    <row r="18" spans="1:23" ht="60" customHeight="1" x14ac:dyDescent="0.3">
      <c r="A18" s="11"/>
      <c r="B18" s="11"/>
      <c r="C18" s="11"/>
      <c r="D18" s="11"/>
      <c r="E18" s="12"/>
      <c r="F18" s="97"/>
      <c r="G18" s="97"/>
      <c r="H18" s="97"/>
      <c r="I18" s="97"/>
      <c r="J18" s="71"/>
      <c r="K18" s="71"/>
      <c r="L18" s="72"/>
      <c r="M18" s="72"/>
      <c r="N18" s="72"/>
      <c r="O18" s="12"/>
      <c r="P18" s="12"/>
      <c r="Q18" s="12"/>
      <c r="R18" s="72"/>
      <c r="S18" s="72"/>
      <c r="T18" s="72"/>
      <c r="U18" s="12"/>
      <c r="V18" s="12"/>
      <c r="W18" s="12"/>
    </row>
    <row r="19" spans="1:23" ht="60" customHeight="1" x14ac:dyDescent="0.3">
      <c r="A19" s="11"/>
      <c r="B19" s="11"/>
      <c r="C19" s="11"/>
      <c r="D19" s="11"/>
      <c r="E19" s="12"/>
      <c r="F19" s="72"/>
      <c r="G19" s="72"/>
      <c r="H19" s="72"/>
      <c r="I19" s="72"/>
      <c r="J19" s="71"/>
      <c r="K19" s="71"/>
      <c r="L19" s="72"/>
      <c r="M19" s="72"/>
      <c r="N19" s="72"/>
      <c r="O19" s="12"/>
      <c r="P19" s="12"/>
      <c r="Q19" s="12"/>
      <c r="R19" s="72"/>
      <c r="S19" s="72"/>
      <c r="T19" s="72"/>
      <c r="U19" s="12"/>
      <c r="V19" s="12"/>
      <c r="W19" s="12"/>
    </row>
    <row r="20" spans="1:23" ht="60" customHeight="1" x14ac:dyDescent="0.3">
      <c r="A20" s="11"/>
      <c r="B20" s="11"/>
      <c r="C20" s="11"/>
      <c r="D20" s="11"/>
      <c r="E20" s="12"/>
      <c r="F20" s="97"/>
      <c r="G20" s="97"/>
      <c r="H20" s="97"/>
      <c r="I20" s="97"/>
      <c r="J20" s="71"/>
      <c r="K20" s="71"/>
      <c r="L20" s="72"/>
      <c r="M20" s="72"/>
      <c r="N20" s="72"/>
      <c r="O20" s="12"/>
      <c r="P20" s="12"/>
      <c r="Q20" s="12"/>
      <c r="R20" s="72"/>
      <c r="S20" s="72"/>
      <c r="T20" s="72"/>
      <c r="U20" s="12"/>
      <c r="V20" s="12"/>
      <c r="W20" s="12"/>
    </row>
    <row r="21" spans="1:23" ht="60" customHeight="1" x14ac:dyDescent="0.3">
      <c r="A21" s="11"/>
      <c r="B21" s="11"/>
      <c r="C21" s="11"/>
      <c r="D21" s="11"/>
      <c r="E21" s="12"/>
      <c r="F21" s="97"/>
      <c r="G21" s="97"/>
      <c r="H21" s="97"/>
      <c r="I21" s="97"/>
      <c r="J21" s="71"/>
      <c r="K21" s="71"/>
      <c r="L21" s="72"/>
      <c r="M21" s="72"/>
      <c r="N21" s="72"/>
      <c r="O21" s="12"/>
      <c r="P21" s="12"/>
      <c r="Q21" s="12"/>
      <c r="R21" s="72"/>
      <c r="S21" s="72"/>
      <c r="T21" s="72"/>
      <c r="U21" s="12"/>
      <c r="V21" s="12"/>
      <c r="W21" s="12"/>
    </row>
    <row r="22" spans="1:23" ht="60" customHeight="1" x14ac:dyDescent="0.3">
      <c r="A22" s="11"/>
      <c r="B22" s="11"/>
      <c r="C22" s="11"/>
      <c r="D22" s="11"/>
      <c r="E22" s="12"/>
      <c r="F22" s="97"/>
      <c r="G22" s="97"/>
      <c r="H22" s="97"/>
      <c r="I22" s="97"/>
      <c r="J22" s="71"/>
      <c r="K22" s="71"/>
      <c r="L22" s="72"/>
      <c r="M22" s="72"/>
      <c r="N22" s="72"/>
      <c r="O22" s="12"/>
      <c r="P22" s="12"/>
      <c r="Q22" s="12"/>
      <c r="R22" s="72"/>
      <c r="S22" s="72"/>
      <c r="T22" s="72"/>
      <c r="U22" s="12"/>
      <c r="V22" s="12"/>
      <c r="W22" s="12"/>
    </row>
    <row r="23" spans="1:23" ht="60" customHeight="1" x14ac:dyDescent="0.3">
      <c r="A23" s="11"/>
      <c r="B23" s="11"/>
      <c r="C23" s="11"/>
      <c r="D23" s="11"/>
      <c r="E23" s="12"/>
      <c r="F23" s="97"/>
      <c r="G23" s="97"/>
      <c r="H23" s="97"/>
      <c r="I23" s="97"/>
      <c r="J23" s="71"/>
      <c r="K23" s="71"/>
      <c r="L23" s="72"/>
      <c r="M23" s="72"/>
      <c r="N23" s="72"/>
      <c r="O23" s="12"/>
      <c r="P23" s="12"/>
      <c r="Q23" s="12"/>
      <c r="R23" s="72"/>
      <c r="S23" s="72"/>
      <c r="T23" s="72"/>
      <c r="U23" s="12"/>
      <c r="V23" s="12"/>
      <c r="W23" s="12"/>
    </row>
    <row r="24" spans="1:23" ht="60" customHeight="1" x14ac:dyDescent="0.3">
      <c r="A24" s="11"/>
      <c r="B24" s="11"/>
      <c r="C24" s="11"/>
      <c r="D24" s="11"/>
      <c r="E24" s="12"/>
      <c r="F24" s="72"/>
      <c r="G24" s="72"/>
      <c r="H24" s="72"/>
      <c r="I24" s="72"/>
      <c r="J24" s="71"/>
      <c r="K24" s="71"/>
      <c r="L24" s="72"/>
      <c r="M24" s="72"/>
      <c r="N24" s="72"/>
      <c r="O24" s="12"/>
      <c r="P24" s="12"/>
      <c r="Q24" s="12"/>
      <c r="R24" s="72"/>
      <c r="S24" s="72"/>
      <c r="T24" s="72"/>
      <c r="U24" s="12"/>
      <c r="V24" s="12"/>
      <c r="W24" s="12"/>
    </row>
    <row r="25" spans="1:23" ht="60" customHeight="1" x14ac:dyDescent="0.3">
      <c r="A25" s="11"/>
      <c r="B25" s="11"/>
      <c r="C25" s="11"/>
      <c r="D25" s="11"/>
      <c r="E25" s="12"/>
      <c r="F25" s="97"/>
      <c r="G25" s="97"/>
      <c r="H25" s="97"/>
      <c r="I25" s="97"/>
      <c r="J25" s="71"/>
      <c r="K25" s="71"/>
      <c r="L25" s="72"/>
      <c r="M25" s="72"/>
      <c r="N25" s="72"/>
      <c r="O25" s="12"/>
      <c r="P25" s="12"/>
      <c r="Q25" s="12"/>
      <c r="R25" s="72"/>
      <c r="S25" s="72"/>
      <c r="T25" s="72"/>
      <c r="U25" s="12"/>
      <c r="V25" s="12"/>
      <c r="W25" s="12"/>
    </row>
    <row r="26" spans="1:23" ht="60" customHeight="1" x14ac:dyDescent="0.3">
      <c r="A26" s="11"/>
      <c r="B26" s="11"/>
      <c r="C26" s="11"/>
      <c r="D26" s="11"/>
      <c r="E26" s="12"/>
      <c r="F26" s="97"/>
      <c r="G26" s="97"/>
      <c r="H26" s="97"/>
      <c r="I26" s="97"/>
      <c r="J26" s="71"/>
      <c r="K26" s="71"/>
      <c r="L26" s="72"/>
      <c r="M26" s="72"/>
      <c r="N26" s="72"/>
      <c r="O26" s="12"/>
      <c r="P26" s="12"/>
      <c r="Q26" s="12"/>
      <c r="R26" s="72"/>
      <c r="S26" s="72"/>
      <c r="T26" s="72"/>
      <c r="U26" s="12"/>
      <c r="V26" s="12"/>
      <c r="W26" s="12"/>
    </row>
    <row r="27" spans="1:23" ht="60" customHeight="1" x14ac:dyDescent="0.3">
      <c r="A27" s="11"/>
      <c r="B27" s="11"/>
      <c r="C27" s="11"/>
      <c r="D27" s="11"/>
      <c r="E27" s="12"/>
      <c r="F27" s="72"/>
      <c r="G27" s="72"/>
      <c r="H27" s="72"/>
      <c r="I27" s="72"/>
      <c r="J27" s="71"/>
      <c r="K27" s="71"/>
      <c r="L27" s="72"/>
      <c r="M27" s="72"/>
      <c r="N27" s="72"/>
      <c r="O27" s="12"/>
      <c r="P27" s="12"/>
      <c r="Q27" s="12"/>
      <c r="R27" s="72"/>
      <c r="S27" s="72"/>
      <c r="T27" s="72"/>
      <c r="U27" s="12"/>
      <c r="V27" s="12"/>
      <c r="W27" s="12"/>
    </row>
    <row r="28" spans="1:23" ht="60" customHeight="1" x14ac:dyDescent="0.3">
      <c r="A28" s="11"/>
      <c r="B28" s="11"/>
      <c r="C28" s="11"/>
      <c r="D28" s="11"/>
      <c r="E28" s="12"/>
      <c r="F28" s="97"/>
      <c r="G28" s="97"/>
      <c r="H28" s="97"/>
      <c r="I28" s="97"/>
      <c r="J28" s="71"/>
      <c r="K28" s="71"/>
      <c r="L28" s="72"/>
      <c r="M28" s="72"/>
      <c r="N28" s="72"/>
      <c r="O28" s="12"/>
      <c r="P28" s="12"/>
      <c r="Q28" s="12"/>
      <c r="R28" s="72"/>
      <c r="S28" s="72"/>
      <c r="T28" s="72"/>
      <c r="U28" s="12"/>
      <c r="V28" s="12"/>
      <c r="W28" s="12"/>
    </row>
    <row r="29" spans="1:23" ht="60" customHeight="1" x14ac:dyDescent="0.3">
      <c r="A29" s="11"/>
      <c r="B29" s="11"/>
      <c r="C29" s="11"/>
      <c r="D29" s="11"/>
      <c r="E29" s="12"/>
      <c r="F29" s="97"/>
      <c r="G29" s="97"/>
      <c r="H29" s="97"/>
      <c r="I29" s="97"/>
      <c r="J29" s="71"/>
      <c r="K29" s="71"/>
      <c r="L29" s="72"/>
      <c r="M29" s="72"/>
      <c r="N29" s="72"/>
      <c r="O29" s="12"/>
      <c r="P29" s="12"/>
      <c r="Q29" s="12"/>
      <c r="R29" s="72"/>
      <c r="S29" s="72"/>
      <c r="T29" s="72"/>
      <c r="U29" s="12"/>
      <c r="V29" s="12"/>
      <c r="W29" s="12"/>
    </row>
    <row r="30" spans="1:23" ht="60" customHeight="1" x14ac:dyDescent="0.3">
      <c r="A30" s="11"/>
      <c r="B30" s="11"/>
      <c r="C30" s="11"/>
      <c r="D30" s="11"/>
      <c r="E30" s="12"/>
      <c r="F30" s="72"/>
      <c r="G30" s="72"/>
      <c r="H30" s="72"/>
      <c r="I30" s="72"/>
      <c r="J30" s="71"/>
      <c r="K30" s="71"/>
      <c r="L30" s="72"/>
      <c r="M30" s="72"/>
      <c r="N30" s="72"/>
      <c r="O30" s="12"/>
      <c r="P30" s="12"/>
      <c r="Q30" s="12"/>
      <c r="R30" s="72"/>
      <c r="S30" s="72"/>
      <c r="T30" s="72"/>
      <c r="U30" s="12"/>
      <c r="V30" s="12"/>
      <c r="W30" s="12"/>
    </row>
    <row r="31" spans="1:23" ht="60" customHeight="1" x14ac:dyDescent="0.3">
      <c r="A31" s="11"/>
      <c r="B31" s="11"/>
      <c r="C31" s="11"/>
      <c r="D31" s="11"/>
      <c r="E31" s="12"/>
      <c r="F31" s="97"/>
      <c r="G31" s="97"/>
      <c r="H31" s="97"/>
      <c r="I31" s="97"/>
      <c r="J31" s="71"/>
      <c r="K31" s="71"/>
      <c r="L31" s="72"/>
      <c r="M31" s="72"/>
      <c r="N31" s="72"/>
      <c r="O31" s="12"/>
      <c r="P31" s="12"/>
      <c r="Q31" s="12"/>
      <c r="R31" s="72"/>
      <c r="S31" s="72"/>
      <c r="T31" s="72"/>
      <c r="U31" s="12"/>
      <c r="V31" s="12"/>
      <c r="W31" s="12"/>
    </row>
    <row r="32" spans="1:23" ht="60" customHeight="1" x14ac:dyDescent="0.3">
      <c r="A32" s="11"/>
      <c r="B32" s="11"/>
      <c r="C32" s="11"/>
      <c r="D32" s="11"/>
      <c r="E32" s="12"/>
      <c r="F32" s="97"/>
      <c r="G32" s="97"/>
      <c r="H32" s="97"/>
      <c r="I32" s="97"/>
      <c r="J32" s="71"/>
      <c r="K32" s="71"/>
      <c r="L32" s="72"/>
      <c r="M32" s="72"/>
      <c r="N32" s="72"/>
      <c r="O32" s="12"/>
      <c r="P32" s="12"/>
      <c r="Q32" s="12"/>
      <c r="R32" s="72"/>
      <c r="S32" s="72"/>
      <c r="T32" s="72"/>
      <c r="U32" s="12"/>
      <c r="V32" s="12"/>
      <c r="W32" s="12"/>
    </row>
    <row r="33" spans="1:23" ht="60" customHeight="1" x14ac:dyDescent="0.3">
      <c r="A33" s="11"/>
      <c r="B33" s="11"/>
      <c r="C33" s="11"/>
      <c r="D33" s="11"/>
      <c r="E33" s="12"/>
      <c r="F33" s="97"/>
      <c r="G33" s="97"/>
      <c r="H33" s="97"/>
      <c r="I33" s="97"/>
      <c r="J33" s="71"/>
      <c r="K33" s="71"/>
      <c r="L33" s="72"/>
      <c r="M33" s="72"/>
      <c r="N33" s="72"/>
      <c r="O33" s="12"/>
      <c r="P33" s="12"/>
      <c r="Q33" s="12"/>
      <c r="R33" s="72"/>
      <c r="S33" s="72"/>
      <c r="T33" s="72"/>
      <c r="U33" s="12"/>
      <c r="V33" s="12"/>
      <c r="W33" s="12"/>
    </row>
    <row r="34" spans="1:23" ht="60" customHeight="1" x14ac:dyDescent="0.3">
      <c r="A34" s="11"/>
      <c r="B34" s="11"/>
      <c r="C34" s="11"/>
      <c r="D34" s="11"/>
      <c r="E34" s="12"/>
      <c r="F34" s="97"/>
      <c r="G34" s="97"/>
      <c r="H34" s="97"/>
      <c r="I34" s="97"/>
      <c r="J34" s="71"/>
      <c r="K34" s="71"/>
      <c r="L34" s="72"/>
      <c r="M34" s="72"/>
      <c r="N34" s="72"/>
      <c r="O34" s="12"/>
      <c r="P34" s="12"/>
      <c r="Q34" s="12"/>
      <c r="R34" s="72"/>
      <c r="S34" s="72"/>
      <c r="T34" s="72"/>
      <c r="U34" s="12"/>
      <c r="V34" s="12"/>
      <c r="W34" s="12"/>
    </row>
    <row r="35" spans="1:23" ht="60" customHeight="1" x14ac:dyDescent="0.3">
      <c r="A35" s="11"/>
      <c r="B35" s="11"/>
      <c r="C35" s="11"/>
      <c r="D35" s="11"/>
      <c r="E35" s="12"/>
      <c r="F35" s="72"/>
      <c r="G35" s="72"/>
      <c r="H35" s="72"/>
      <c r="I35" s="72"/>
      <c r="J35" s="71"/>
      <c r="K35" s="71"/>
      <c r="L35" s="72"/>
      <c r="M35" s="72"/>
      <c r="N35" s="72"/>
      <c r="O35" s="12"/>
      <c r="P35" s="12"/>
      <c r="Q35" s="12"/>
      <c r="R35" s="72"/>
      <c r="S35" s="72"/>
      <c r="T35" s="72"/>
      <c r="U35" s="12"/>
      <c r="V35" s="12"/>
      <c r="W35" s="12"/>
    </row>
    <row r="36" spans="1:23" ht="60" customHeight="1" x14ac:dyDescent="0.3">
      <c r="A36" s="11"/>
      <c r="B36" s="11"/>
      <c r="C36" s="11"/>
      <c r="D36" s="11"/>
      <c r="E36" s="12"/>
      <c r="F36" s="97"/>
      <c r="G36" s="97"/>
      <c r="H36" s="97"/>
      <c r="I36" s="97"/>
      <c r="J36" s="71"/>
      <c r="K36" s="71"/>
      <c r="L36" s="72"/>
      <c r="M36" s="72"/>
      <c r="N36" s="72"/>
      <c r="O36" s="12"/>
      <c r="P36" s="12"/>
      <c r="Q36" s="12"/>
      <c r="R36" s="72"/>
      <c r="S36" s="72"/>
      <c r="T36" s="72"/>
      <c r="U36" s="12"/>
      <c r="V36" s="12"/>
      <c r="W36" s="12"/>
    </row>
    <row r="37" spans="1:23" ht="60" customHeight="1" x14ac:dyDescent="0.3">
      <c r="A37" s="11"/>
      <c r="B37" s="11"/>
      <c r="C37" s="11"/>
      <c r="D37" s="11"/>
      <c r="E37" s="12"/>
      <c r="F37" s="97"/>
      <c r="G37" s="97"/>
      <c r="H37" s="97"/>
      <c r="I37" s="97"/>
      <c r="J37" s="71"/>
      <c r="K37" s="71"/>
      <c r="L37" s="72"/>
      <c r="M37" s="72"/>
      <c r="N37" s="72"/>
      <c r="O37" s="12"/>
      <c r="P37" s="12"/>
      <c r="Q37" s="12"/>
      <c r="R37" s="72"/>
      <c r="S37" s="72"/>
      <c r="T37" s="72"/>
      <c r="U37" s="12"/>
      <c r="V37" s="12"/>
      <c r="W37" s="12"/>
    </row>
    <row r="38" spans="1:23" ht="60" customHeight="1" x14ac:dyDescent="0.3">
      <c r="A38" s="11"/>
      <c r="B38" s="11"/>
      <c r="C38" s="11"/>
      <c r="D38" s="11"/>
      <c r="E38" s="12"/>
      <c r="F38" s="72"/>
      <c r="G38" s="72"/>
      <c r="H38" s="72"/>
      <c r="I38" s="72"/>
      <c r="J38" s="71"/>
      <c r="K38" s="71"/>
      <c r="L38" s="72"/>
      <c r="M38" s="72"/>
      <c r="N38" s="72"/>
      <c r="O38" s="12"/>
      <c r="P38" s="12"/>
      <c r="Q38" s="12"/>
      <c r="R38" s="72"/>
      <c r="S38" s="72"/>
      <c r="T38" s="72"/>
      <c r="U38" s="12"/>
      <c r="V38" s="12"/>
      <c r="W38" s="12"/>
    </row>
    <row r="39" spans="1:23" ht="60" customHeight="1" x14ac:dyDescent="0.3">
      <c r="A39" s="11"/>
      <c r="B39" s="11"/>
      <c r="C39" s="11"/>
      <c r="D39" s="11"/>
      <c r="E39" s="12"/>
      <c r="F39" s="97"/>
      <c r="G39" s="97"/>
      <c r="H39" s="97"/>
      <c r="I39" s="97"/>
      <c r="J39" s="71"/>
      <c r="K39" s="71"/>
      <c r="L39" s="72"/>
      <c r="M39" s="72"/>
      <c r="N39" s="72"/>
      <c r="O39" s="12"/>
      <c r="P39" s="12"/>
      <c r="Q39" s="12"/>
      <c r="R39" s="72"/>
      <c r="S39" s="72"/>
      <c r="T39" s="72"/>
      <c r="U39" s="12"/>
      <c r="V39" s="12"/>
      <c r="W39" s="12"/>
    </row>
    <row r="40" spans="1:23" ht="60" customHeight="1" x14ac:dyDescent="0.3">
      <c r="A40" s="11"/>
      <c r="B40" s="11"/>
      <c r="C40" s="11"/>
      <c r="D40" s="11"/>
      <c r="E40" s="12"/>
      <c r="F40" s="97"/>
      <c r="G40" s="97"/>
      <c r="H40" s="97"/>
      <c r="I40" s="97"/>
      <c r="J40" s="71"/>
      <c r="K40" s="71"/>
      <c r="L40" s="72"/>
      <c r="M40" s="72"/>
      <c r="N40" s="72"/>
      <c r="O40" s="12"/>
      <c r="P40" s="12"/>
      <c r="Q40" s="12"/>
      <c r="R40" s="72"/>
      <c r="S40" s="72"/>
      <c r="T40" s="72"/>
      <c r="U40" s="12"/>
      <c r="V40" s="12"/>
      <c r="W40" s="12"/>
    </row>
    <row r="41" spans="1:23" ht="60" customHeight="1" x14ac:dyDescent="0.3">
      <c r="A41" s="11"/>
      <c r="B41" s="11"/>
      <c r="C41" s="11"/>
      <c r="D41" s="11"/>
      <c r="E41" s="12"/>
      <c r="F41" s="97"/>
      <c r="G41" s="97"/>
      <c r="H41" s="97"/>
      <c r="I41" s="97"/>
      <c r="J41" s="71"/>
      <c r="K41" s="71"/>
      <c r="L41" s="72"/>
      <c r="M41" s="72"/>
      <c r="N41" s="72"/>
      <c r="O41" s="12"/>
      <c r="P41" s="12"/>
      <c r="Q41" s="12"/>
      <c r="R41" s="72"/>
      <c r="S41" s="72"/>
      <c r="T41" s="72"/>
      <c r="U41" s="12"/>
      <c r="V41" s="12"/>
      <c r="W41" s="12"/>
    </row>
    <row r="42" spans="1:23" x14ac:dyDescent="0.3">
      <c r="E42" s="12"/>
    </row>
    <row r="124" spans="9:9" x14ac:dyDescent="0.3">
      <c r="I124" t="s">
        <v>10</v>
      </c>
    </row>
  </sheetData>
  <mergeCells count="154">
    <mergeCell ref="F41:I41"/>
    <mergeCell ref="J41:K41"/>
    <mergeCell ref="L41:N41"/>
    <mergeCell ref="R41:T41"/>
    <mergeCell ref="F39:I39"/>
    <mergeCell ref="J39:K39"/>
    <mergeCell ref="L39:N39"/>
    <mergeCell ref="R39:T39"/>
    <mergeCell ref="F40:I40"/>
    <mergeCell ref="J40:K40"/>
    <mergeCell ref="L40:N40"/>
    <mergeCell ref="R40:T40"/>
    <mergeCell ref="F37:I37"/>
    <mergeCell ref="J37:K37"/>
    <mergeCell ref="L37:N37"/>
    <mergeCell ref="R37:T37"/>
    <mergeCell ref="F38:I38"/>
    <mergeCell ref="J38:K38"/>
    <mergeCell ref="L38:N38"/>
    <mergeCell ref="R38:T38"/>
    <mergeCell ref="F35:I35"/>
    <mergeCell ref="J35:K35"/>
    <mergeCell ref="L35:N35"/>
    <mergeCell ref="R35:T35"/>
    <mergeCell ref="F36:I36"/>
    <mergeCell ref="J36:K36"/>
    <mergeCell ref="L36:N36"/>
    <mergeCell ref="R36:T36"/>
    <mergeCell ref="F33:I33"/>
    <mergeCell ref="J33:K33"/>
    <mergeCell ref="L33:N33"/>
    <mergeCell ref="R33:T33"/>
    <mergeCell ref="F34:I34"/>
    <mergeCell ref="J34:K34"/>
    <mergeCell ref="L34:N34"/>
    <mergeCell ref="R34:T34"/>
    <mergeCell ref="F31:I31"/>
    <mergeCell ref="J31:K31"/>
    <mergeCell ref="L31:N31"/>
    <mergeCell ref="R31:T31"/>
    <mergeCell ref="F32:I32"/>
    <mergeCell ref="J32:K32"/>
    <mergeCell ref="L32:N32"/>
    <mergeCell ref="R32:T32"/>
    <mergeCell ref="F29:I29"/>
    <mergeCell ref="J29:K29"/>
    <mergeCell ref="L29:N29"/>
    <mergeCell ref="R29:T29"/>
    <mergeCell ref="F30:I30"/>
    <mergeCell ref="J30:K30"/>
    <mergeCell ref="L30:N30"/>
    <mergeCell ref="R30:T30"/>
    <mergeCell ref="F27:I27"/>
    <mergeCell ref="J27:K27"/>
    <mergeCell ref="L27:N27"/>
    <mergeCell ref="R27:T27"/>
    <mergeCell ref="F28:I28"/>
    <mergeCell ref="J28:K28"/>
    <mergeCell ref="L28:N28"/>
    <mergeCell ref="R28:T28"/>
    <mergeCell ref="F25:I25"/>
    <mergeCell ref="J25:K25"/>
    <mergeCell ref="L25:N25"/>
    <mergeCell ref="R25:T25"/>
    <mergeCell ref="F26:I26"/>
    <mergeCell ref="J26:K26"/>
    <mergeCell ref="L26:N26"/>
    <mergeCell ref="R26:T26"/>
    <mergeCell ref="F23:I23"/>
    <mergeCell ref="J23:K23"/>
    <mergeCell ref="L23:N23"/>
    <mergeCell ref="R23:T23"/>
    <mergeCell ref="F24:I24"/>
    <mergeCell ref="J24:K24"/>
    <mergeCell ref="L24:N24"/>
    <mergeCell ref="R24:T24"/>
    <mergeCell ref="F21:I21"/>
    <mergeCell ref="J21:K21"/>
    <mergeCell ref="L21:N21"/>
    <mergeCell ref="R21:T21"/>
    <mergeCell ref="F22:I22"/>
    <mergeCell ref="J22:K22"/>
    <mergeCell ref="L22:N22"/>
    <mergeCell ref="R22:T22"/>
    <mergeCell ref="F19:I19"/>
    <mergeCell ref="J19:K19"/>
    <mergeCell ref="L19:N19"/>
    <mergeCell ref="R19:T19"/>
    <mergeCell ref="F20:I20"/>
    <mergeCell ref="J20:K20"/>
    <mergeCell ref="L20:N20"/>
    <mergeCell ref="R20:T20"/>
    <mergeCell ref="F17:I17"/>
    <mergeCell ref="J17:K17"/>
    <mergeCell ref="L17:N17"/>
    <mergeCell ref="R17:T17"/>
    <mergeCell ref="F18:I18"/>
    <mergeCell ref="J18:K18"/>
    <mergeCell ref="L18:N18"/>
    <mergeCell ref="R18:T18"/>
    <mergeCell ref="F15:I15"/>
    <mergeCell ref="J15:K15"/>
    <mergeCell ref="L15:N15"/>
    <mergeCell ref="R15:T15"/>
    <mergeCell ref="F16:I16"/>
    <mergeCell ref="J16:K16"/>
    <mergeCell ref="L16:N16"/>
    <mergeCell ref="R16:T16"/>
    <mergeCell ref="F13:I13"/>
    <mergeCell ref="J13:K13"/>
    <mergeCell ref="L13:N13"/>
    <mergeCell ref="R13:T13"/>
    <mergeCell ref="F14:I14"/>
    <mergeCell ref="J14:K14"/>
    <mergeCell ref="L14:N14"/>
    <mergeCell ref="R14:T14"/>
    <mergeCell ref="F11:I11"/>
    <mergeCell ref="J11:K11"/>
    <mergeCell ref="L11:N11"/>
    <mergeCell ref="R11:T11"/>
    <mergeCell ref="F12:I12"/>
    <mergeCell ref="J12:K12"/>
    <mergeCell ref="L12:N12"/>
    <mergeCell ref="R12:T12"/>
    <mergeCell ref="F9:I9"/>
    <mergeCell ref="J9:K9"/>
    <mergeCell ref="L9:N9"/>
    <mergeCell ref="R9:T9"/>
    <mergeCell ref="F10:I10"/>
    <mergeCell ref="J10:K10"/>
    <mergeCell ref="L10:N10"/>
    <mergeCell ref="R10:T10"/>
    <mergeCell ref="O6:Q6"/>
    <mergeCell ref="R6:T8"/>
    <mergeCell ref="U6:W6"/>
    <mergeCell ref="B7:B8"/>
    <mergeCell ref="C7:C8"/>
    <mergeCell ref="D7:D8"/>
    <mergeCell ref="A6:A8"/>
    <mergeCell ref="B6:D6"/>
    <mergeCell ref="E6:E8"/>
    <mergeCell ref="F6:I8"/>
    <mergeCell ref="J6:K8"/>
    <mergeCell ref="L6:N8"/>
    <mergeCell ref="A1:T1"/>
    <mergeCell ref="B2:E2"/>
    <mergeCell ref="F2:Q5"/>
    <mergeCell ref="R2:S5"/>
    <mergeCell ref="U2:W2"/>
    <mergeCell ref="B3:E3"/>
    <mergeCell ref="T3:T5"/>
    <mergeCell ref="U3:W5"/>
    <mergeCell ref="B4:E4"/>
    <mergeCell ref="B5:E5"/>
  </mergeCells>
  <phoneticPr fontId="4" type="noConversion"/>
  <conditionalFormatting sqref="Q9:Q41 W9:W41">
    <cfRule type="cellIs" dxfId="29" priority="1" operator="between">
      <formula>15</formula>
      <formula>20</formula>
    </cfRule>
    <cfRule type="cellIs" dxfId="28" priority="2" operator="between">
      <formula>9</formula>
      <formula>12</formula>
    </cfRule>
    <cfRule type="cellIs" dxfId="27" priority="3" operator="equal">
      <formula>8</formula>
    </cfRule>
  </conditionalFormatting>
  <pageMargins left="0.23622047244094491" right="0.23622047244094491" top="0.74803149606299213" bottom="0.74803149606299213" header="0.31496062992125984" footer="0.31496062992125984"/>
  <pageSetup paperSize="9" scale="50" orientation="landscape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400-000000000000}">
          <x14:formula1>
            <xm:f>'D:\Desktop\위험성평가\붙임1. 유해위험요인 분류표 및 위험성평가표(23년 네오트랜스)\협력사\윌앤비전\[유해위험요인 분류표 및 위험성평가표_윌앤비전(기지)_2024.xlsx]데이터필드'!#REF!</xm:f>
          </x14:formula1>
          <xm:sqref>J10:K41</xm:sqref>
        </x14:dataValidation>
        <x14:dataValidation type="list" allowBlank="1" showInputMessage="1" showErrorMessage="1" xr:uid="{00000000-0002-0000-0400-000001000000}">
          <x14:formula1>
            <xm:f>'D:\Desktop\위험성평가\붙임1. 유해위험요인 분류표 및 위험성평가표(23년 네오트랜스)\협력사\윌앤비전\[유해위험요인 분류표 및 위험성평가표_윌앤비전(기지)_2024.xlsx]데이터필드'!#REF!</xm:f>
          </x14:formula1>
          <xm:sqref>D9:D41 O9:P41 U9:V41 J9:K9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 tint="-0.249977111117893"/>
  </sheetPr>
  <dimension ref="A1:W125"/>
  <sheetViews>
    <sheetView view="pageBreakPreview" zoomScale="85" zoomScaleNormal="100" zoomScaleSheetLayoutView="85" workbookViewId="0">
      <pane ySplit="8" topLeftCell="A9" activePane="bottomLeft" state="frozen"/>
      <selection activeCell="D14" sqref="D14"/>
      <selection pane="bottomLeft" activeCell="D14" sqref="D14"/>
    </sheetView>
  </sheetViews>
  <sheetFormatPr defaultRowHeight="16.5" x14ac:dyDescent="0.3"/>
  <cols>
    <col min="1" max="1" width="15.625" customWidth="1"/>
    <col min="2" max="4" width="13.625" customWidth="1"/>
    <col min="5" max="5" width="13.625" style="9" customWidth="1"/>
    <col min="6" max="9" width="13.625" customWidth="1"/>
    <col min="10" max="11" width="5.625" customWidth="1"/>
    <col min="12" max="14" width="13.625" customWidth="1"/>
    <col min="15" max="17" width="7.625" customWidth="1"/>
    <col min="18" max="19" width="9.625" customWidth="1"/>
    <col min="20" max="23" width="10.625" customWidth="1"/>
  </cols>
  <sheetData>
    <row r="1" spans="1:23" ht="30" customHeight="1" x14ac:dyDescent="0.3">
      <c r="A1" s="37" t="s">
        <v>2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4"/>
      <c r="V1" s="4"/>
      <c r="W1" s="4"/>
    </row>
    <row r="2" spans="1:23" ht="39.950000000000003" customHeight="1" x14ac:dyDescent="0.3">
      <c r="A2" s="13" t="s">
        <v>16</v>
      </c>
      <c r="B2" s="58" t="s">
        <v>95</v>
      </c>
      <c r="C2" s="59"/>
      <c r="D2" s="59"/>
      <c r="E2" s="60"/>
      <c r="F2" s="73" t="s">
        <v>4</v>
      </c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4" t="s">
        <v>24</v>
      </c>
      <c r="S2" s="75"/>
      <c r="T2" s="14" t="s">
        <v>22</v>
      </c>
      <c r="U2" s="71"/>
      <c r="V2" s="71"/>
      <c r="W2" s="71"/>
    </row>
    <row r="3" spans="1:23" ht="30" customHeight="1" x14ac:dyDescent="0.3">
      <c r="A3" s="13" t="s">
        <v>18</v>
      </c>
      <c r="B3" s="58" t="s">
        <v>130</v>
      </c>
      <c r="C3" s="59"/>
      <c r="D3" s="59"/>
      <c r="E3" s="60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6"/>
      <c r="S3" s="77"/>
      <c r="T3" s="71" t="s">
        <v>23</v>
      </c>
      <c r="U3" s="71" t="s">
        <v>123</v>
      </c>
      <c r="V3" s="71"/>
      <c r="W3" s="71"/>
    </row>
    <row r="4" spans="1:23" ht="30" customHeight="1" x14ac:dyDescent="0.3">
      <c r="A4" s="13" t="s">
        <v>19</v>
      </c>
      <c r="B4" s="58" t="s">
        <v>101</v>
      </c>
      <c r="C4" s="59"/>
      <c r="D4" s="59"/>
      <c r="E4" s="60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6"/>
      <c r="S4" s="77"/>
      <c r="T4" s="71"/>
      <c r="U4" s="71"/>
      <c r="V4" s="71"/>
      <c r="W4" s="71"/>
    </row>
    <row r="5" spans="1:23" ht="30" customHeight="1" x14ac:dyDescent="0.3">
      <c r="A5" s="13" t="s">
        <v>0</v>
      </c>
      <c r="B5" s="58" t="s">
        <v>133</v>
      </c>
      <c r="C5" s="59"/>
      <c r="D5" s="59"/>
      <c r="E5" s="60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8"/>
      <c r="S5" s="79"/>
      <c r="T5" s="71"/>
      <c r="U5" s="71"/>
      <c r="V5" s="71"/>
      <c r="W5" s="71"/>
    </row>
    <row r="6" spans="1:23" ht="39.950000000000003" customHeight="1" x14ac:dyDescent="0.3">
      <c r="A6" s="88" t="s">
        <v>20</v>
      </c>
      <c r="B6" s="58" t="s">
        <v>11</v>
      </c>
      <c r="C6" s="59"/>
      <c r="D6" s="60"/>
      <c r="E6" s="88" t="s">
        <v>81</v>
      </c>
      <c r="F6" s="91" t="s">
        <v>82</v>
      </c>
      <c r="G6" s="83"/>
      <c r="H6" s="83"/>
      <c r="I6" s="92"/>
      <c r="J6" s="91" t="s">
        <v>5</v>
      </c>
      <c r="K6" s="92"/>
      <c r="L6" s="91" t="s">
        <v>15</v>
      </c>
      <c r="M6" s="83"/>
      <c r="N6" s="83"/>
      <c r="O6" s="80" t="s">
        <v>8</v>
      </c>
      <c r="P6" s="81"/>
      <c r="Q6" s="82"/>
      <c r="R6" s="83" t="s">
        <v>3</v>
      </c>
      <c r="S6" s="83"/>
      <c r="T6" s="83"/>
      <c r="U6" s="80" t="s">
        <v>21</v>
      </c>
      <c r="V6" s="81"/>
      <c r="W6" s="82"/>
    </row>
    <row r="7" spans="1:23" ht="30" customHeight="1" x14ac:dyDescent="0.3">
      <c r="A7" s="90"/>
      <c r="B7" s="86" t="s">
        <v>12</v>
      </c>
      <c r="C7" s="88" t="s">
        <v>13</v>
      </c>
      <c r="D7" s="86" t="s">
        <v>14</v>
      </c>
      <c r="E7" s="90"/>
      <c r="F7" s="93"/>
      <c r="G7" s="84"/>
      <c r="H7" s="84"/>
      <c r="I7" s="94"/>
      <c r="J7" s="93"/>
      <c r="K7" s="94"/>
      <c r="L7" s="93"/>
      <c r="M7" s="84"/>
      <c r="N7" s="84"/>
      <c r="O7" s="15" t="s">
        <v>6</v>
      </c>
      <c r="P7" s="15" t="s">
        <v>7</v>
      </c>
      <c r="Q7" s="15" t="s">
        <v>25</v>
      </c>
      <c r="R7" s="84"/>
      <c r="S7" s="84"/>
      <c r="T7" s="84"/>
      <c r="U7" s="15" t="s">
        <v>6</v>
      </c>
      <c r="V7" s="15" t="s">
        <v>7</v>
      </c>
      <c r="W7" s="15" t="s">
        <v>1</v>
      </c>
    </row>
    <row r="8" spans="1:23" ht="30" customHeight="1" x14ac:dyDescent="0.3">
      <c r="A8" s="89"/>
      <c r="B8" s="87"/>
      <c r="C8" s="89"/>
      <c r="D8" s="87"/>
      <c r="E8" s="89"/>
      <c r="F8" s="95"/>
      <c r="G8" s="85"/>
      <c r="H8" s="85"/>
      <c r="I8" s="96"/>
      <c r="J8" s="95"/>
      <c r="K8" s="96"/>
      <c r="L8" s="95"/>
      <c r="M8" s="85"/>
      <c r="N8" s="85"/>
      <c r="O8" s="16" t="s">
        <v>26</v>
      </c>
      <c r="P8" s="16" t="s">
        <v>27</v>
      </c>
      <c r="Q8" s="16" t="s">
        <v>28</v>
      </c>
      <c r="R8" s="85"/>
      <c r="S8" s="85"/>
      <c r="T8" s="85"/>
      <c r="U8" s="16" t="s">
        <v>26</v>
      </c>
      <c r="V8" s="16" t="s">
        <v>27</v>
      </c>
      <c r="W8" s="16" t="s">
        <v>28</v>
      </c>
    </row>
    <row r="9" spans="1:23" ht="60" customHeight="1" x14ac:dyDescent="0.3">
      <c r="A9" s="10" t="s">
        <v>98</v>
      </c>
      <c r="B9" s="11" t="s">
        <v>17</v>
      </c>
      <c r="C9" s="11" t="s">
        <v>17</v>
      </c>
      <c r="D9" s="11"/>
      <c r="E9" s="24" t="s">
        <v>132</v>
      </c>
      <c r="F9" s="72" t="s">
        <v>102</v>
      </c>
      <c r="G9" s="72"/>
      <c r="H9" s="72"/>
      <c r="I9" s="72"/>
      <c r="J9" s="35" t="s">
        <v>84</v>
      </c>
      <c r="K9" s="35"/>
      <c r="L9" s="72" t="s">
        <v>103</v>
      </c>
      <c r="M9" s="72"/>
      <c r="N9" s="72"/>
      <c r="O9" s="24">
        <v>2</v>
      </c>
      <c r="P9" s="24">
        <v>1</v>
      </c>
      <c r="Q9" s="24">
        <f>O9*P9</f>
        <v>2</v>
      </c>
      <c r="R9" s="72"/>
      <c r="S9" s="72"/>
      <c r="T9" s="72"/>
      <c r="U9" s="24"/>
      <c r="V9" s="24"/>
      <c r="W9" s="24"/>
    </row>
    <row r="10" spans="1:23" ht="60" customHeight="1" x14ac:dyDescent="0.3">
      <c r="A10" s="10" t="s">
        <v>98</v>
      </c>
      <c r="B10" s="11" t="s">
        <v>17</v>
      </c>
      <c r="C10" s="11" t="s">
        <v>17</v>
      </c>
      <c r="D10" s="11"/>
      <c r="E10" s="24" t="s">
        <v>132</v>
      </c>
      <c r="F10" s="36" t="s">
        <v>105</v>
      </c>
      <c r="G10" s="36"/>
      <c r="H10" s="36"/>
      <c r="I10" s="36"/>
      <c r="J10" s="71" t="s">
        <v>85</v>
      </c>
      <c r="K10" s="71"/>
      <c r="L10" s="36" t="s">
        <v>104</v>
      </c>
      <c r="M10" s="36"/>
      <c r="N10" s="36"/>
      <c r="O10" s="24">
        <v>2</v>
      </c>
      <c r="P10" s="24">
        <v>1</v>
      </c>
      <c r="Q10" s="24">
        <f t="shared" ref="Q10" si="0">O10*P10</f>
        <v>2</v>
      </c>
      <c r="R10" s="72"/>
      <c r="S10" s="72"/>
      <c r="T10" s="72"/>
      <c r="U10" s="24"/>
      <c r="V10" s="24"/>
      <c r="W10" s="24"/>
    </row>
    <row r="11" spans="1:23" ht="60" customHeight="1" x14ac:dyDescent="0.3">
      <c r="A11" s="10"/>
      <c r="B11" s="11"/>
      <c r="C11" s="11"/>
      <c r="D11" s="11"/>
      <c r="E11" s="12"/>
      <c r="F11" s="72"/>
      <c r="G11" s="72"/>
      <c r="H11" s="72"/>
      <c r="I11" s="72"/>
      <c r="J11" s="71"/>
      <c r="K11" s="71"/>
      <c r="L11" s="72"/>
      <c r="M11" s="72"/>
      <c r="N11" s="72"/>
      <c r="O11" s="12"/>
      <c r="P11" s="12"/>
      <c r="Q11" s="12"/>
      <c r="R11" s="72"/>
      <c r="S11" s="72"/>
      <c r="T11" s="72"/>
      <c r="U11" s="12"/>
      <c r="V11" s="12"/>
      <c r="W11" s="12"/>
    </row>
    <row r="12" spans="1:23" ht="60" customHeight="1" x14ac:dyDescent="0.3">
      <c r="A12" s="11"/>
      <c r="B12" s="11"/>
      <c r="C12" s="11"/>
      <c r="D12" s="11"/>
      <c r="E12" s="12"/>
      <c r="F12" s="97"/>
      <c r="G12" s="97"/>
      <c r="H12" s="97"/>
      <c r="I12" s="97"/>
      <c r="J12" s="71"/>
      <c r="K12" s="71"/>
      <c r="L12" s="72"/>
      <c r="M12" s="72"/>
      <c r="N12" s="72"/>
      <c r="O12" s="12"/>
      <c r="P12" s="12"/>
      <c r="Q12" s="12"/>
      <c r="R12" s="72"/>
      <c r="S12" s="72"/>
      <c r="T12" s="72"/>
      <c r="U12" s="12"/>
      <c r="V12" s="12"/>
      <c r="W12" s="12"/>
    </row>
    <row r="13" spans="1:23" ht="60" customHeight="1" x14ac:dyDescent="0.3">
      <c r="A13" s="11"/>
      <c r="B13" s="11"/>
      <c r="C13" s="11"/>
      <c r="D13" s="11"/>
      <c r="E13" s="12"/>
      <c r="F13" s="97"/>
      <c r="G13" s="97"/>
      <c r="H13" s="97"/>
      <c r="I13" s="97"/>
      <c r="J13" s="71"/>
      <c r="K13" s="71"/>
      <c r="L13" s="72"/>
      <c r="M13" s="72"/>
      <c r="N13" s="72"/>
      <c r="O13" s="12"/>
      <c r="P13" s="12"/>
      <c r="Q13" s="12"/>
      <c r="R13" s="72"/>
      <c r="S13" s="72"/>
      <c r="T13" s="72"/>
      <c r="U13" s="12"/>
      <c r="V13" s="12"/>
      <c r="W13" s="12"/>
    </row>
    <row r="14" spans="1:23" ht="60" customHeight="1" x14ac:dyDescent="0.3">
      <c r="A14" s="11"/>
      <c r="B14" s="11"/>
      <c r="C14" s="11"/>
      <c r="D14" s="11"/>
      <c r="E14" s="12"/>
      <c r="F14" s="97"/>
      <c r="G14" s="97"/>
      <c r="H14" s="97"/>
      <c r="I14" s="97"/>
      <c r="J14" s="71"/>
      <c r="K14" s="71"/>
      <c r="L14" s="72"/>
      <c r="M14" s="72"/>
      <c r="N14" s="72"/>
      <c r="O14" s="12"/>
      <c r="P14" s="12"/>
      <c r="Q14" s="12"/>
      <c r="R14" s="72"/>
      <c r="S14" s="72"/>
      <c r="T14" s="72"/>
      <c r="U14" s="12"/>
      <c r="V14" s="12"/>
      <c r="W14" s="12"/>
    </row>
    <row r="15" spans="1:23" ht="60" customHeight="1" x14ac:dyDescent="0.3">
      <c r="A15" s="11"/>
      <c r="B15" s="11"/>
      <c r="C15" s="11"/>
      <c r="D15" s="11"/>
      <c r="E15" s="12"/>
      <c r="F15" s="97"/>
      <c r="G15" s="97"/>
      <c r="H15" s="97"/>
      <c r="I15" s="97"/>
      <c r="J15" s="71"/>
      <c r="K15" s="71"/>
      <c r="L15" s="72"/>
      <c r="M15" s="72"/>
      <c r="N15" s="72"/>
      <c r="O15" s="12"/>
      <c r="P15" s="12"/>
      <c r="Q15" s="12"/>
      <c r="R15" s="72"/>
      <c r="S15" s="72"/>
      <c r="T15" s="72"/>
      <c r="U15" s="12"/>
      <c r="V15" s="12"/>
      <c r="W15" s="12"/>
    </row>
    <row r="16" spans="1:23" ht="60" customHeight="1" x14ac:dyDescent="0.3">
      <c r="A16" s="11"/>
      <c r="B16" s="11"/>
      <c r="C16" s="11"/>
      <c r="D16" s="11"/>
      <c r="E16" s="12"/>
      <c r="F16" s="72"/>
      <c r="G16" s="72"/>
      <c r="H16" s="72"/>
      <c r="I16" s="72"/>
      <c r="J16" s="71"/>
      <c r="K16" s="71"/>
      <c r="L16" s="72"/>
      <c r="M16" s="72"/>
      <c r="N16" s="72"/>
      <c r="O16" s="12"/>
      <c r="P16" s="12"/>
      <c r="Q16" s="12"/>
      <c r="R16" s="72"/>
      <c r="S16" s="72"/>
      <c r="T16" s="72"/>
      <c r="U16" s="12"/>
      <c r="V16" s="12"/>
      <c r="W16" s="12"/>
    </row>
    <row r="17" spans="1:23" ht="60" customHeight="1" x14ac:dyDescent="0.3">
      <c r="A17" s="11"/>
      <c r="B17" s="11"/>
      <c r="C17" s="11"/>
      <c r="D17" s="11"/>
      <c r="E17" s="12"/>
      <c r="F17" s="72"/>
      <c r="G17" s="72"/>
      <c r="H17" s="72"/>
      <c r="I17" s="72"/>
      <c r="J17" s="71"/>
      <c r="K17" s="71"/>
      <c r="L17" s="72"/>
      <c r="M17" s="72"/>
      <c r="N17" s="72"/>
      <c r="O17" s="12"/>
      <c r="P17" s="12"/>
      <c r="Q17" s="12"/>
      <c r="R17" s="72"/>
      <c r="S17" s="72"/>
      <c r="T17" s="72"/>
      <c r="U17" s="12"/>
      <c r="V17" s="12"/>
      <c r="W17" s="12"/>
    </row>
    <row r="18" spans="1:23" ht="60" customHeight="1" x14ac:dyDescent="0.3">
      <c r="A18" s="11"/>
      <c r="B18" s="11"/>
      <c r="C18" s="11"/>
      <c r="D18" s="11"/>
      <c r="E18" s="12"/>
      <c r="F18" s="97"/>
      <c r="G18" s="97"/>
      <c r="H18" s="97"/>
      <c r="I18" s="97"/>
      <c r="J18" s="71"/>
      <c r="K18" s="71"/>
      <c r="L18" s="72"/>
      <c r="M18" s="72"/>
      <c r="N18" s="72"/>
      <c r="O18" s="12"/>
      <c r="P18" s="12"/>
      <c r="Q18" s="12"/>
      <c r="R18" s="72"/>
      <c r="S18" s="72"/>
      <c r="T18" s="72"/>
      <c r="U18" s="12"/>
      <c r="V18" s="12"/>
      <c r="W18" s="12"/>
    </row>
    <row r="19" spans="1:23" ht="60" customHeight="1" x14ac:dyDescent="0.3">
      <c r="A19" s="11"/>
      <c r="B19" s="11"/>
      <c r="C19" s="11"/>
      <c r="D19" s="11"/>
      <c r="E19" s="12"/>
      <c r="F19" s="97"/>
      <c r="G19" s="97"/>
      <c r="H19" s="97"/>
      <c r="I19" s="97"/>
      <c r="J19" s="71"/>
      <c r="K19" s="71"/>
      <c r="L19" s="72"/>
      <c r="M19" s="72"/>
      <c r="N19" s="72"/>
      <c r="O19" s="12"/>
      <c r="P19" s="12"/>
      <c r="Q19" s="12"/>
      <c r="R19" s="72"/>
      <c r="S19" s="72"/>
      <c r="T19" s="72"/>
      <c r="U19" s="12"/>
      <c r="V19" s="12"/>
      <c r="W19" s="12"/>
    </row>
    <row r="20" spans="1:23" ht="60" customHeight="1" x14ac:dyDescent="0.3">
      <c r="A20" s="11"/>
      <c r="B20" s="11"/>
      <c r="C20" s="11"/>
      <c r="D20" s="11"/>
      <c r="E20" s="12"/>
      <c r="F20" s="72"/>
      <c r="G20" s="72"/>
      <c r="H20" s="72"/>
      <c r="I20" s="72"/>
      <c r="J20" s="71"/>
      <c r="K20" s="71"/>
      <c r="L20" s="72"/>
      <c r="M20" s="72"/>
      <c r="N20" s="72"/>
      <c r="O20" s="12"/>
      <c r="P20" s="12"/>
      <c r="Q20" s="12"/>
      <c r="R20" s="72"/>
      <c r="S20" s="72"/>
      <c r="T20" s="72"/>
      <c r="U20" s="12"/>
      <c r="V20" s="12"/>
      <c r="W20" s="12"/>
    </row>
    <row r="21" spans="1:23" ht="60" customHeight="1" x14ac:dyDescent="0.3">
      <c r="A21" s="11"/>
      <c r="B21" s="11"/>
      <c r="C21" s="11"/>
      <c r="D21" s="11"/>
      <c r="E21" s="12"/>
      <c r="F21" s="97"/>
      <c r="G21" s="97"/>
      <c r="H21" s="97"/>
      <c r="I21" s="97"/>
      <c r="J21" s="71"/>
      <c r="K21" s="71"/>
      <c r="L21" s="72"/>
      <c r="M21" s="72"/>
      <c r="N21" s="72"/>
      <c r="O21" s="12"/>
      <c r="P21" s="12"/>
      <c r="Q21" s="12"/>
      <c r="R21" s="72"/>
      <c r="S21" s="72"/>
      <c r="T21" s="72"/>
      <c r="U21" s="12"/>
      <c r="V21" s="12"/>
      <c r="W21" s="12"/>
    </row>
    <row r="22" spans="1:23" ht="60" customHeight="1" x14ac:dyDescent="0.3">
      <c r="A22" s="11"/>
      <c r="B22" s="11"/>
      <c r="C22" s="11"/>
      <c r="D22" s="11"/>
      <c r="E22" s="12"/>
      <c r="F22" s="97"/>
      <c r="G22" s="97"/>
      <c r="H22" s="97"/>
      <c r="I22" s="97"/>
      <c r="J22" s="71"/>
      <c r="K22" s="71"/>
      <c r="L22" s="72"/>
      <c r="M22" s="72"/>
      <c r="N22" s="72"/>
      <c r="O22" s="12"/>
      <c r="P22" s="12"/>
      <c r="Q22" s="12"/>
      <c r="R22" s="72"/>
      <c r="S22" s="72"/>
      <c r="T22" s="72"/>
      <c r="U22" s="12"/>
      <c r="V22" s="12"/>
      <c r="W22" s="12"/>
    </row>
    <row r="23" spans="1:23" ht="60" customHeight="1" x14ac:dyDescent="0.3">
      <c r="A23" s="11"/>
      <c r="B23" s="11"/>
      <c r="C23" s="11"/>
      <c r="D23" s="11"/>
      <c r="E23" s="12"/>
      <c r="F23" s="97"/>
      <c r="G23" s="97"/>
      <c r="H23" s="97"/>
      <c r="I23" s="97"/>
      <c r="J23" s="71"/>
      <c r="K23" s="71"/>
      <c r="L23" s="72"/>
      <c r="M23" s="72"/>
      <c r="N23" s="72"/>
      <c r="O23" s="12"/>
      <c r="P23" s="12"/>
      <c r="Q23" s="12"/>
      <c r="R23" s="72"/>
      <c r="S23" s="72"/>
      <c r="T23" s="72"/>
      <c r="U23" s="12"/>
      <c r="V23" s="12"/>
      <c r="W23" s="12"/>
    </row>
    <row r="24" spans="1:23" ht="60" customHeight="1" x14ac:dyDescent="0.3">
      <c r="A24" s="11"/>
      <c r="B24" s="11"/>
      <c r="C24" s="11"/>
      <c r="D24" s="11"/>
      <c r="E24" s="12"/>
      <c r="F24" s="97"/>
      <c r="G24" s="97"/>
      <c r="H24" s="97"/>
      <c r="I24" s="97"/>
      <c r="J24" s="71"/>
      <c r="K24" s="71"/>
      <c r="L24" s="72"/>
      <c r="M24" s="72"/>
      <c r="N24" s="72"/>
      <c r="O24" s="12"/>
      <c r="P24" s="12"/>
      <c r="Q24" s="12"/>
      <c r="R24" s="72"/>
      <c r="S24" s="72"/>
      <c r="T24" s="72"/>
      <c r="U24" s="12"/>
      <c r="V24" s="12"/>
      <c r="W24" s="12"/>
    </row>
    <row r="25" spans="1:23" ht="60" customHeight="1" x14ac:dyDescent="0.3">
      <c r="A25" s="11"/>
      <c r="B25" s="11"/>
      <c r="C25" s="11"/>
      <c r="D25" s="11"/>
      <c r="E25" s="12"/>
      <c r="F25" s="72"/>
      <c r="G25" s="72"/>
      <c r="H25" s="72"/>
      <c r="I25" s="72"/>
      <c r="J25" s="71"/>
      <c r="K25" s="71"/>
      <c r="L25" s="72"/>
      <c r="M25" s="72"/>
      <c r="N25" s="72"/>
      <c r="O25" s="12"/>
      <c r="P25" s="12"/>
      <c r="Q25" s="12"/>
      <c r="R25" s="72"/>
      <c r="S25" s="72"/>
      <c r="T25" s="72"/>
      <c r="U25" s="12"/>
      <c r="V25" s="12"/>
      <c r="W25" s="12"/>
    </row>
    <row r="26" spans="1:23" ht="60" customHeight="1" x14ac:dyDescent="0.3">
      <c r="A26" s="11"/>
      <c r="B26" s="11"/>
      <c r="C26" s="11"/>
      <c r="D26" s="11"/>
      <c r="E26" s="12"/>
      <c r="F26" s="97"/>
      <c r="G26" s="97"/>
      <c r="H26" s="97"/>
      <c r="I26" s="97"/>
      <c r="J26" s="71"/>
      <c r="K26" s="71"/>
      <c r="L26" s="72"/>
      <c r="M26" s="72"/>
      <c r="N26" s="72"/>
      <c r="O26" s="12"/>
      <c r="P26" s="12"/>
      <c r="Q26" s="12"/>
      <c r="R26" s="72"/>
      <c r="S26" s="72"/>
      <c r="T26" s="72"/>
      <c r="U26" s="12"/>
      <c r="V26" s="12"/>
      <c r="W26" s="12"/>
    </row>
    <row r="27" spans="1:23" ht="60" customHeight="1" x14ac:dyDescent="0.3">
      <c r="A27" s="11"/>
      <c r="B27" s="11"/>
      <c r="C27" s="11"/>
      <c r="D27" s="11"/>
      <c r="E27" s="12"/>
      <c r="F27" s="97"/>
      <c r="G27" s="97"/>
      <c r="H27" s="97"/>
      <c r="I27" s="97"/>
      <c r="J27" s="71"/>
      <c r="K27" s="71"/>
      <c r="L27" s="72"/>
      <c r="M27" s="72"/>
      <c r="N27" s="72"/>
      <c r="O27" s="12"/>
      <c r="P27" s="12"/>
      <c r="Q27" s="12"/>
      <c r="R27" s="72"/>
      <c r="S27" s="72"/>
      <c r="T27" s="72"/>
      <c r="U27" s="12"/>
      <c r="V27" s="12"/>
      <c r="W27" s="12"/>
    </row>
    <row r="28" spans="1:23" ht="60" customHeight="1" x14ac:dyDescent="0.3">
      <c r="A28" s="11"/>
      <c r="B28" s="11"/>
      <c r="C28" s="11"/>
      <c r="D28" s="11"/>
      <c r="E28" s="12"/>
      <c r="F28" s="72"/>
      <c r="G28" s="72"/>
      <c r="H28" s="72"/>
      <c r="I28" s="72"/>
      <c r="J28" s="71"/>
      <c r="K28" s="71"/>
      <c r="L28" s="72"/>
      <c r="M28" s="72"/>
      <c r="N28" s="72"/>
      <c r="O28" s="12"/>
      <c r="P28" s="12"/>
      <c r="Q28" s="12"/>
      <c r="R28" s="72"/>
      <c r="S28" s="72"/>
      <c r="T28" s="72"/>
      <c r="U28" s="12"/>
      <c r="V28" s="12"/>
      <c r="W28" s="12"/>
    </row>
    <row r="29" spans="1:23" ht="60" customHeight="1" x14ac:dyDescent="0.3">
      <c r="A29" s="11"/>
      <c r="B29" s="11"/>
      <c r="C29" s="11"/>
      <c r="D29" s="11"/>
      <c r="E29" s="12"/>
      <c r="F29" s="97"/>
      <c r="G29" s="97"/>
      <c r="H29" s="97"/>
      <c r="I29" s="97"/>
      <c r="J29" s="71"/>
      <c r="K29" s="71"/>
      <c r="L29" s="72"/>
      <c r="M29" s="72"/>
      <c r="N29" s="72"/>
      <c r="O29" s="12"/>
      <c r="P29" s="12"/>
      <c r="Q29" s="12"/>
      <c r="R29" s="72"/>
      <c r="S29" s="72"/>
      <c r="T29" s="72"/>
      <c r="U29" s="12"/>
      <c r="V29" s="12"/>
      <c r="W29" s="12"/>
    </row>
    <row r="30" spans="1:23" ht="60" customHeight="1" x14ac:dyDescent="0.3">
      <c r="A30" s="11"/>
      <c r="B30" s="11"/>
      <c r="C30" s="11"/>
      <c r="D30" s="11"/>
      <c r="E30" s="12"/>
      <c r="F30" s="97"/>
      <c r="G30" s="97"/>
      <c r="H30" s="97"/>
      <c r="I30" s="97"/>
      <c r="J30" s="71"/>
      <c r="K30" s="71"/>
      <c r="L30" s="72"/>
      <c r="M30" s="72"/>
      <c r="N30" s="72"/>
      <c r="O30" s="12"/>
      <c r="P30" s="12"/>
      <c r="Q30" s="12"/>
      <c r="R30" s="72"/>
      <c r="S30" s="72"/>
      <c r="T30" s="72"/>
      <c r="U30" s="12"/>
      <c r="V30" s="12"/>
      <c r="W30" s="12"/>
    </row>
    <row r="31" spans="1:23" ht="60" customHeight="1" x14ac:dyDescent="0.3">
      <c r="A31" s="11"/>
      <c r="B31" s="11"/>
      <c r="C31" s="11"/>
      <c r="D31" s="11"/>
      <c r="E31" s="12"/>
      <c r="F31" s="72"/>
      <c r="G31" s="72"/>
      <c r="H31" s="72"/>
      <c r="I31" s="72"/>
      <c r="J31" s="71"/>
      <c r="K31" s="71"/>
      <c r="L31" s="72"/>
      <c r="M31" s="72"/>
      <c r="N31" s="72"/>
      <c r="O31" s="12"/>
      <c r="P31" s="12"/>
      <c r="Q31" s="12"/>
      <c r="R31" s="72"/>
      <c r="S31" s="72"/>
      <c r="T31" s="72"/>
      <c r="U31" s="12"/>
      <c r="V31" s="12"/>
      <c r="W31" s="12"/>
    </row>
    <row r="32" spans="1:23" ht="60" customHeight="1" x14ac:dyDescent="0.3">
      <c r="A32" s="11"/>
      <c r="B32" s="11"/>
      <c r="C32" s="11"/>
      <c r="D32" s="11"/>
      <c r="E32" s="12"/>
      <c r="F32" s="97"/>
      <c r="G32" s="97"/>
      <c r="H32" s="97"/>
      <c r="I32" s="97"/>
      <c r="J32" s="71"/>
      <c r="K32" s="71"/>
      <c r="L32" s="72"/>
      <c r="M32" s="72"/>
      <c r="N32" s="72"/>
      <c r="O32" s="12"/>
      <c r="P32" s="12"/>
      <c r="Q32" s="12"/>
      <c r="R32" s="72"/>
      <c r="S32" s="72"/>
      <c r="T32" s="72"/>
      <c r="U32" s="12"/>
      <c r="V32" s="12"/>
      <c r="W32" s="12"/>
    </row>
    <row r="33" spans="1:23" ht="60" customHeight="1" x14ac:dyDescent="0.3">
      <c r="A33" s="11"/>
      <c r="B33" s="11"/>
      <c r="C33" s="11"/>
      <c r="D33" s="11"/>
      <c r="E33" s="12"/>
      <c r="F33" s="97"/>
      <c r="G33" s="97"/>
      <c r="H33" s="97"/>
      <c r="I33" s="97"/>
      <c r="J33" s="71"/>
      <c r="K33" s="71"/>
      <c r="L33" s="72"/>
      <c r="M33" s="72"/>
      <c r="N33" s="72"/>
      <c r="O33" s="12"/>
      <c r="P33" s="12"/>
      <c r="Q33" s="12"/>
      <c r="R33" s="72"/>
      <c r="S33" s="72"/>
      <c r="T33" s="72"/>
      <c r="U33" s="12"/>
      <c r="V33" s="12"/>
      <c r="W33" s="12"/>
    </row>
    <row r="34" spans="1:23" ht="60" customHeight="1" x14ac:dyDescent="0.3">
      <c r="A34" s="11"/>
      <c r="B34" s="11"/>
      <c r="C34" s="11"/>
      <c r="D34" s="11"/>
      <c r="E34" s="12"/>
      <c r="F34" s="97"/>
      <c r="G34" s="97"/>
      <c r="H34" s="97"/>
      <c r="I34" s="97"/>
      <c r="J34" s="71"/>
      <c r="K34" s="71"/>
      <c r="L34" s="72"/>
      <c r="M34" s="72"/>
      <c r="N34" s="72"/>
      <c r="O34" s="12"/>
      <c r="P34" s="12"/>
      <c r="Q34" s="12"/>
      <c r="R34" s="72"/>
      <c r="S34" s="72"/>
      <c r="T34" s="72"/>
      <c r="U34" s="12"/>
      <c r="V34" s="12"/>
      <c r="W34" s="12"/>
    </row>
    <row r="35" spans="1:23" ht="60" customHeight="1" x14ac:dyDescent="0.3">
      <c r="A35" s="11"/>
      <c r="B35" s="11"/>
      <c r="C35" s="11"/>
      <c r="D35" s="11"/>
      <c r="E35" s="12"/>
      <c r="F35" s="97"/>
      <c r="G35" s="97"/>
      <c r="H35" s="97"/>
      <c r="I35" s="97"/>
      <c r="J35" s="71"/>
      <c r="K35" s="71"/>
      <c r="L35" s="72"/>
      <c r="M35" s="72"/>
      <c r="N35" s="72"/>
      <c r="O35" s="12"/>
      <c r="P35" s="12"/>
      <c r="Q35" s="12"/>
      <c r="R35" s="72"/>
      <c r="S35" s="72"/>
      <c r="T35" s="72"/>
      <c r="U35" s="12"/>
      <c r="V35" s="12"/>
      <c r="W35" s="12"/>
    </row>
    <row r="36" spans="1:23" ht="60" customHeight="1" x14ac:dyDescent="0.3">
      <c r="A36" s="11"/>
      <c r="B36" s="11"/>
      <c r="C36" s="11"/>
      <c r="D36" s="11"/>
      <c r="E36" s="12"/>
      <c r="F36" s="72"/>
      <c r="G36" s="72"/>
      <c r="H36" s="72"/>
      <c r="I36" s="72"/>
      <c r="J36" s="71"/>
      <c r="K36" s="71"/>
      <c r="L36" s="72"/>
      <c r="M36" s="72"/>
      <c r="N36" s="72"/>
      <c r="O36" s="12"/>
      <c r="P36" s="12"/>
      <c r="Q36" s="12"/>
      <c r="R36" s="72"/>
      <c r="S36" s="72"/>
      <c r="T36" s="72"/>
      <c r="U36" s="12"/>
      <c r="V36" s="12"/>
      <c r="W36" s="12"/>
    </row>
    <row r="37" spans="1:23" ht="60" customHeight="1" x14ac:dyDescent="0.3">
      <c r="A37" s="11"/>
      <c r="B37" s="11"/>
      <c r="C37" s="11"/>
      <c r="D37" s="11"/>
      <c r="E37" s="12"/>
      <c r="F37" s="97"/>
      <c r="G37" s="97"/>
      <c r="H37" s="97"/>
      <c r="I37" s="97"/>
      <c r="J37" s="71"/>
      <c r="K37" s="71"/>
      <c r="L37" s="72"/>
      <c r="M37" s="72"/>
      <c r="N37" s="72"/>
      <c r="O37" s="12"/>
      <c r="P37" s="12"/>
      <c r="Q37" s="12"/>
      <c r="R37" s="72"/>
      <c r="S37" s="72"/>
      <c r="T37" s="72"/>
      <c r="U37" s="12"/>
      <c r="V37" s="12"/>
      <c r="W37" s="12"/>
    </row>
    <row r="38" spans="1:23" ht="60" customHeight="1" x14ac:dyDescent="0.3">
      <c r="A38" s="11"/>
      <c r="B38" s="11"/>
      <c r="C38" s="11"/>
      <c r="D38" s="11"/>
      <c r="E38" s="12"/>
      <c r="F38" s="97"/>
      <c r="G38" s="97"/>
      <c r="H38" s="97"/>
      <c r="I38" s="97"/>
      <c r="J38" s="71"/>
      <c r="K38" s="71"/>
      <c r="L38" s="72"/>
      <c r="M38" s="72"/>
      <c r="N38" s="72"/>
      <c r="O38" s="12"/>
      <c r="P38" s="12"/>
      <c r="Q38" s="12"/>
      <c r="R38" s="72"/>
      <c r="S38" s="72"/>
      <c r="T38" s="72"/>
      <c r="U38" s="12"/>
      <c r="V38" s="12"/>
      <c r="W38" s="12"/>
    </row>
    <row r="39" spans="1:23" ht="60" customHeight="1" x14ac:dyDescent="0.3">
      <c r="A39" s="11"/>
      <c r="B39" s="11"/>
      <c r="C39" s="11"/>
      <c r="D39" s="11"/>
      <c r="E39" s="12"/>
      <c r="F39" s="72"/>
      <c r="G39" s="72"/>
      <c r="H39" s="72"/>
      <c r="I39" s="72"/>
      <c r="J39" s="71"/>
      <c r="K39" s="71"/>
      <c r="L39" s="72"/>
      <c r="M39" s="72"/>
      <c r="N39" s="72"/>
      <c r="O39" s="12"/>
      <c r="P39" s="12"/>
      <c r="Q39" s="12"/>
      <c r="R39" s="72"/>
      <c r="S39" s="72"/>
      <c r="T39" s="72"/>
      <c r="U39" s="12"/>
      <c r="V39" s="12"/>
      <c r="W39" s="12"/>
    </row>
    <row r="40" spans="1:23" ht="60" customHeight="1" x14ac:dyDescent="0.3">
      <c r="A40" s="11"/>
      <c r="B40" s="11"/>
      <c r="C40" s="11"/>
      <c r="D40" s="11"/>
      <c r="E40" s="12"/>
      <c r="F40" s="97"/>
      <c r="G40" s="97"/>
      <c r="H40" s="97"/>
      <c r="I40" s="97"/>
      <c r="J40" s="71"/>
      <c r="K40" s="71"/>
      <c r="L40" s="72"/>
      <c r="M40" s="72"/>
      <c r="N40" s="72"/>
      <c r="O40" s="12"/>
      <c r="P40" s="12"/>
      <c r="Q40" s="12"/>
      <c r="R40" s="72"/>
      <c r="S40" s="72"/>
      <c r="T40" s="72"/>
      <c r="U40" s="12"/>
      <c r="V40" s="12"/>
      <c r="W40" s="12"/>
    </row>
    <row r="41" spans="1:23" ht="60" customHeight="1" x14ac:dyDescent="0.3">
      <c r="A41" s="11"/>
      <c r="B41" s="11"/>
      <c r="C41" s="11"/>
      <c r="D41" s="11"/>
      <c r="E41" s="12"/>
      <c r="F41" s="97"/>
      <c r="G41" s="97"/>
      <c r="H41" s="97"/>
      <c r="I41" s="97"/>
      <c r="J41" s="71"/>
      <c r="K41" s="71"/>
      <c r="L41" s="72"/>
      <c r="M41" s="72"/>
      <c r="N41" s="72"/>
      <c r="O41" s="12"/>
      <c r="P41" s="12"/>
      <c r="Q41" s="12"/>
      <c r="R41" s="72"/>
      <c r="S41" s="72"/>
      <c r="T41" s="72"/>
      <c r="U41" s="12"/>
      <c r="V41" s="12"/>
      <c r="W41" s="12"/>
    </row>
    <row r="42" spans="1:23" ht="60" customHeight="1" x14ac:dyDescent="0.3">
      <c r="A42" s="11"/>
      <c r="B42" s="11"/>
      <c r="C42" s="11"/>
      <c r="D42" s="11"/>
      <c r="E42" s="12"/>
      <c r="F42" s="97"/>
      <c r="G42" s="97"/>
      <c r="H42" s="97"/>
      <c r="I42" s="97"/>
      <c r="J42" s="71"/>
      <c r="K42" s="71"/>
      <c r="L42" s="72"/>
      <c r="M42" s="72"/>
      <c r="N42" s="72"/>
      <c r="O42" s="12"/>
      <c r="P42" s="12"/>
      <c r="Q42" s="12"/>
      <c r="R42" s="72"/>
      <c r="S42" s="72"/>
      <c r="T42" s="72"/>
      <c r="U42" s="12"/>
      <c r="V42" s="12"/>
      <c r="W42" s="12"/>
    </row>
    <row r="125" spans="9:9" x14ac:dyDescent="0.3">
      <c r="I125" t="s">
        <v>10</v>
      </c>
    </row>
  </sheetData>
  <mergeCells count="158">
    <mergeCell ref="F41:I41"/>
    <mergeCell ref="J41:K41"/>
    <mergeCell ref="L41:N41"/>
    <mergeCell ref="R41:T41"/>
    <mergeCell ref="F42:I42"/>
    <mergeCell ref="J42:K42"/>
    <mergeCell ref="L42:N42"/>
    <mergeCell ref="R42:T42"/>
    <mergeCell ref="F39:I39"/>
    <mergeCell ref="J39:K39"/>
    <mergeCell ref="L39:N39"/>
    <mergeCell ref="R39:T39"/>
    <mergeCell ref="F40:I40"/>
    <mergeCell ref="J40:K40"/>
    <mergeCell ref="L40:N40"/>
    <mergeCell ref="R40:T40"/>
    <mergeCell ref="F37:I37"/>
    <mergeCell ref="J37:K37"/>
    <mergeCell ref="L37:N37"/>
    <mergeCell ref="R37:T37"/>
    <mergeCell ref="F38:I38"/>
    <mergeCell ref="J38:K38"/>
    <mergeCell ref="L38:N38"/>
    <mergeCell ref="R38:T38"/>
    <mergeCell ref="F35:I35"/>
    <mergeCell ref="J35:K35"/>
    <mergeCell ref="L35:N35"/>
    <mergeCell ref="R35:T35"/>
    <mergeCell ref="F36:I36"/>
    <mergeCell ref="J36:K36"/>
    <mergeCell ref="L36:N36"/>
    <mergeCell ref="R36:T36"/>
    <mergeCell ref="F33:I33"/>
    <mergeCell ref="J33:K33"/>
    <mergeCell ref="L33:N33"/>
    <mergeCell ref="R33:T33"/>
    <mergeCell ref="F34:I34"/>
    <mergeCell ref="J34:K34"/>
    <mergeCell ref="L34:N34"/>
    <mergeCell ref="R34:T34"/>
    <mergeCell ref="F31:I31"/>
    <mergeCell ref="J31:K31"/>
    <mergeCell ref="L31:N31"/>
    <mergeCell ref="R31:T31"/>
    <mergeCell ref="F32:I32"/>
    <mergeCell ref="J32:K32"/>
    <mergeCell ref="L32:N32"/>
    <mergeCell ref="R32:T32"/>
    <mergeCell ref="F29:I29"/>
    <mergeCell ref="J29:K29"/>
    <mergeCell ref="L29:N29"/>
    <mergeCell ref="R29:T29"/>
    <mergeCell ref="F30:I30"/>
    <mergeCell ref="J30:K30"/>
    <mergeCell ref="L30:N30"/>
    <mergeCell ref="R30:T30"/>
    <mergeCell ref="F27:I27"/>
    <mergeCell ref="J27:K27"/>
    <mergeCell ref="L27:N27"/>
    <mergeCell ref="R27:T27"/>
    <mergeCell ref="F28:I28"/>
    <mergeCell ref="J28:K28"/>
    <mergeCell ref="L28:N28"/>
    <mergeCell ref="R28:T28"/>
    <mergeCell ref="F25:I25"/>
    <mergeCell ref="J25:K25"/>
    <mergeCell ref="L25:N25"/>
    <mergeCell ref="R25:T25"/>
    <mergeCell ref="F26:I26"/>
    <mergeCell ref="J26:K26"/>
    <mergeCell ref="L26:N26"/>
    <mergeCell ref="R26:T26"/>
    <mergeCell ref="F23:I23"/>
    <mergeCell ref="J23:K23"/>
    <mergeCell ref="L23:N23"/>
    <mergeCell ref="R23:T23"/>
    <mergeCell ref="F24:I24"/>
    <mergeCell ref="J24:K24"/>
    <mergeCell ref="L24:N24"/>
    <mergeCell ref="R24:T24"/>
    <mergeCell ref="F21:I21"/>
    <mergeCell ref="J21:K21"/>
    <mergeCell ref="L21:N21"/>
    <mergeCell ref="R21:T21"/>
    <mergeCell ref="F22:I22"/>
    <mergeCell ref="J22:K22"/>
    <mergeCell ref="L22:N22"/>
    <mergeCell ref="R22:T22"/>
    <mergeCell ref="F19:I19"/>
    <mergeCell ref="J19:K19"/>
    <mergeCell ref="L19:N19"/>
    <mergeCell ref="R19:T19"/>
    <mergeCell ref="F20:I20"/>
    <mergeCell ref="J20:K20"/>
    <mergeCell ref="L20:N20"/>
    <mergeCell ref="R20:T20"/>
    <mergeCell ref="F17:I17"/>
    <mergeCell ref="J17:K17"/>
    <mergeCell ref="L17:N17"/>
    <mergeCell ref="R17:T17"/>
    <mergeCell ref="F18:I18"/>
    <mergeCell ref="J18:K18"/>
    <mergeCell ref="L18:N18"/>
    <mergeCell ref="R18:T18"/>
    <mergeCell ref="F15:I15"/>
    <mergeCell ref="J15:K15"/>
    <mergeCell ref="L15:N15"/>
    <mergeCell ref="R15:T15"/>
    <mergeCell ref="F16:I16"/>
    <mergeCell ref="J16:K16"/>
    <mergeCell ref="L16:N16"/>
    <mergeCell ref="R16:T16"/>
    <mergeCell ref="F13:I13"/>
    <mergeCell ref="J13:K13"/>
    <mergeCell ref="L13:N13"/>
    <mergeCell ref="R13:T13"/>
    <mergeCell ref="F14:I14"/>
    <mergeCell ref="J14:K14"/>
    <mergeCell ref="L14:N14"/>
    <mergeCell ref="R14:T14"/>
    <mergeCell ref="F11:I11"/>
    <mergeCell ref="J11:K11"/>
    <mergeCell ref="L11:N11"/>
    <mergeCell ref="R11:T11"/>
    <mergeCell ref="F12:I12"/>
    <mergeCell ref="J12:K12"/>
    <mergeCell ref="L12:N12"/>
    <mergeCell ref="R12:T12"/>
    <mergeCell ref="F9:I9"/>
    <mergeCell ref="J9:K9"/>
    <mergeCell ref="L9:N9"/>
    <mergeCell ref="R9:T9"/>
    <mergeCell ref="F10:I10"/>
    <mergeCell ref="J10:K10"/>
    <mergeCell ref="L10:N10"/>
    <mergeCell ref="R10:T10"/>
    <mergeCell ref="O6:Q6"/>
    <mergeCell ref="R6:T8"/>
    <mergeCell ref="U6:W6"/>
    <mergeCell ref="B7:B8"/>
    <mergeCell ref="C7:C8"/>
    <mergeCell ref="D7:D8"/>
    <mergeCell ref="A6:A8"/>
    <mergeCell ref="B6:D6"/>
    <mergeCell ref="E6:E8"/>
    <mergeCell ref="F6:I8"/>
    <mergeCell ref="J6:K8"/>
    <mergeCell ref="L6:N8"/>
    <mergeCell ref="A1:T1"/>
    <mergeCell ref="B2:E2"/>
    <mergeCell ref="F2:Q5"/>
    <mergeCell ref="R2:S5"/>
    <mergeCell ref="U2:W2"/>
    <mergeCell ref="B3:E3"/>
    <mergeCell ref="T3:T5"/>
    <mergeCell ref="U3:W5"/>
    <mergeCell ref="B4:E4"/>
    <mergeCell ref="B5:E5"/>
  </mergeCells>
  <phoneticPr fontId="4" type="noConversion"/>
  <conditionalFormatting sqref="O9:O10">
    <cfRule type="cellIs" dxfId="26" priority="1" operator="between">
      <formula>15</formula>
      <formula>20</formula>
    </cfRule>
    <cfRule type="cellIs" dxfId="25" priority="2" operator="between">
      <formula>9</formula>
      <formula>12</formula>
    </cfRule>
    <cfRule type="cellIs" dxfId="24" priority="3" operator="equal">
      <formula>8</formula>
    </cfRule>
  </conditionalFormatting>
  <conditionalFormatting sqref="Q9:Q42 W9:W42">
    <cfRule type="cellIs" dxfId="23" priority="7" operator="between">
      <formula>15</formula>
      <formula>20</formula>
    </cfRule>
    <cfRule type="cellIs" dxfId="22" priority="8" operator="between">
      <formula>9</formula>
      <formula>12</formula>
    </cfRule>
    <cfRule type="cellIs" dxfId="21" priority="9" operator="equal">
      <formula>8</formula>
    </cfRule>
  </conditionalFormatting>
  <pageMargins left="0.23622047244094491" right="0.23622047244094491" top="0.74803149606299213" bottom="0.74803149606299213" header="0.31496062992125984" footer="0.31496062992125984"/>
  <pageSetup paperSize="9" scale="50" orientation="landscape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500-000000000000}">
          <x14:formula1>
            <xm:f>'D:\Desktop\위험성평가\붙임1. 유해위험요인 분류표 및 위험성평가표(23년 네오트랜스)\협력사\윌앤비전\[유해위험요인 분류표 및 위험성평가표_윌앤비전(기지)_2024.xlsx]데이터필드'!#REF!</xm:f>
          </x14:formula1>
          <xm:sqref>J11:K42</xm:sqref>
        </x14:dataValidation>
        <x14:dataValidation type="list" allowBlank="1" showInputMessage="1" showErrorMessage="1" xr:uid="{00000000-0002-0000-0500-000001000000}">
          <x14:formula1>
            <xm:f>'D:\Desktop\위험성평가\붙임1. 유해위험요인 분류표 및 위험성평가표(23년 네오트랜스)\협력사\윌앤비전\[유해위험요인 분류표 및 위험성평가표_윌앤비전(기지)_2024.xlsx]데이터필드'!#REF!</xm:f>
          </x14:formula1>
          <xm:sqref>O11:P42 D9:D42 U9:V42 P9:P10 J10:K10</xm:sqref>
        </x14:dataValidation>
        <x14:dataValidation type="list" allowBlank="1" showInputMessage="1" showErrorMessage="1" xr:uid="{00000000-0002-0000-0500-000002000000}">
          <x14:formula1>
            <xm:f>'D:\0\8.위험성평가\25년도\위험성평가(부서별)_24년도 정기,수시 최종 반영\네오\시설\[위험성평가표_시설(시설관리)_2024.xlsx]데이터필드'!#REF!</xm:f>
          </x14:formula1>
          <xm:sqref>J9:K9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5" tint="-0.249977111117893"/>
  </sheetPr>
  <dimension ref="A1:W125"/>
  <sheetViews>
    <sheetView view="pageBreakPreview" zoomScale="85" zoomScaleNormal="100" zoomScaleSheetLayoutView="85" workbookViewId="0">
      <pane ySplit="8" topLeftCell="A9" activePane="bottomLeft" state="frozen"/>
      <selection activeCell="D14" sqref="D14"/>
      <selection pane="bottomLeft" activeCell="D14" sqref="D14"/>
    </sheetView>
  </sheetViews>
  <sheetFormatPr defaultRowHeight="16.5" x14ac:dyDescent="0.3"/>
  <cols>
    <col min="1" max="1" width="15.625" customWidth="1"/>
    <col min="2" max="4" width="13.625" customWidth="1"/>
    <col min="5" max="5" width="13.625" style="9" customWidth="1"/>
    <col min="6" max="9" width="13.625" customWidth="1"/>
    <col min="10" max="11" width="5.625" customWidth="1"/>
    <col min="12" max="14" width="13.625" customWidth="1"/>
    <col min="15" max="17" width="7.625" customWidth="1"/>
    <col min="18" max="19" width="9.625" customWidth="1"/>
    <col min="20" max="23" width="10.625" customWidth="1"/>
  </cols>
  <sheetData>
    <row r="1" spans="1:23" ht="30" customHeight="1" x14ac:dyDescent="0.3">
      <c r="A1" s="37" t="s">
        <v>2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4"/>
      <c r="V1" s="4"/>
      <c r="W1" s="4"/>
    </row>
    <row r="2" spans="1:23" ht="39.950000000000003" customHeight="1" x14ac:dyDescent="0.3">
      <c r="A2" s="13" t="s">
        <v>16</v>
      </c>
      <c r="B2" s="58" t="s">
        <v>95</v>
      </c>
      <c r="C2" s="59"/>
      <c r="D2" s="59"/>
      <c r="E2" s="60"/>
      <c r="F2" s="73" t="s">
        <v>4</v>
      </c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4" t="s">
        <v>24</v>
      </c>
      <c r="S2" s="75"/>
      <c r="T2" s="14" t="s">
        <v>22</v>
      </c>
      <c r="U2" s="71"/>
      <c r="V2" s="71"/>
      <c r="W2" s="71"/>
    </row>
    <row r="3" spans="1:23" ht="30" customHeight="1" x14ac:dyDescent="0.3">
      <c r="A3" s="13" t="s">
        <v>18</v>
      </c>
      <c r="B3" s="58" t="s">
        <v>130</v>
      </c>
      <c r="C3" s="59"/>
      <c r="D3" s="59"/>
      <c r="E3" s="60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6"/>
      <c r="S3" s="77"/>
      <c r="T3" s="71" t="s">
        <v>23</v>
      </c>
      <c r="U3" s="71" t="s">
        <v>123</v>
      </c>
      <c r="V3" s="71"/>
      <c r="W3" s="71"/>
    </row>
    <row r="4" spans="1:23" ht="30" customHeight="1" x14ac:dyDescent="0.3">
      <c r="A4" s="13" t="s">
        <v>19</v>
      </c>
      <c r="B4" s="58" t="s">
        <v>106</v>
      </c>
      <c r="C4" s="59"/>
      <c r="D4" s="59"/>
      <c r="E4" s="60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6"/>
      <c r="S4" s="77"/>
      <c r="T4" s="71"/>
      <c r="U4" s="71"/>
      <c r="V4" s="71"/>
      <c r="W4" s="71"/>
    </row>
    <row r="5" spans="1:23" ht="30" customHeight="1" x14ac:dyDescent="0.3">
      <c r="A5" s="13" t="s">
        <v>0</v>
      </c>
      <c r="B5" s="58" t="s">
        <v>133</v>
      </c>
      <c r="C5" s="59"/>
      <c r="D5" s="59"/>
      <c r="E5" s="60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8"/>
      <c r="S5" s="79"/>
      <c r="T5" s="71"/>
      <c r="U5" s="71"/>
      <c r="V5" s="71"/>
      <c r="W5" s="71"/>
    </row>
    <row r="6" spans="1:23" ht="39.950000000000003" customHeight="1" x14ac:dyDescent="0.3">
      <c r="A6" s="88" t="s">
        <v>20</v>
      </c>
      <c r="B6" s="58" t="s">
        <v>11</v>
      </c>
      <c r="C6" s="59"/>
      <c r="D6" s="60"/>
      <c r="E6" s="88" t="s">
        <v>81</v>
      </c>
      <c r="F6" s="91" t="s">
        <v>82</v>
      </c>
      <c r="G6" s="83"/>
      <c r="H6" s="83"/>
      <c r="I6" s="92"/>
      <c r="J6" s="91" t="s">
        <v>5</v>
      </c>
      <c r="K6" s="92"/>
      <c r="L6" s="91" t="s">
        <v>15</v>
      </c>
      <c r="M6" s="83"/>
      <c r="N6" s="83"/>
      <c r="O6" s="80" t="s">
        <v>8</v>
      </c>
      <c r="P6" s="81"/>
      <c r="Q6" s="82"/>
      <c r="R6" s="83" t="s">
        <v>3</v>
      </c>
      <c r="S6" s="83"/>
      <c r="T6" s="83"/>
      <c r="U6" s="80" t="s">
        <v>21</v>
      </c>
      <c r="V6" s="81"/>
      <c r="W6" s="82"/>
    </row>
    <row r="7" spans="1:23" ht="30" customHeight="1" x14ac:dyDescent="0.3">
      <c r="A7" s="90"/>
      <c r="B7" s="86" t="s">
        <v>12</v>
      </c>
      <c r="C7" s="88" t="s">
        <v>13</v>
      </c>
      <c r="D7" s="86" t="s">
        <v>14</v>
      </c>
      <c r="E7" s="90"/>
      <c r="F7" s="93"/>
      <c r="G7" s="84"/>
      <c r="H7" s="84"/>
      <c r="I7" s="94"/>
      <c r="J7" s="93"/>
      <c r="K7" s="94"/>
      <c r="L7" s="93"/>
      <c r="M7" s="84"/>
      <c r="N7" s="84"/>
      <c r="O7" s="15" t="s">
        <v>6</v>
      </c>
      <c r="P7" s="15" t="s">
        <v>7</v>
      </c>
      <c r="Q7" s="15" t="s">
        <v>25</v>
      </c>
      <c r="R7" s="84"/>
      <c r="S7" s="84"/>
      <c r="T7" s="84"/>
      <c r="U7" s="15" t="s">
        <v>6</v>
      </c>
      <c r="V7" s="15" t="s">
        <v>7</v>
      </c>
      <c r="W7" s="15" t="s">
        <v>1</v>
      </c>
    </row>
    <row r="8" spans="1:23" ht="30" customHeight="1" x14ac:dyDescent="0.3">
      <c r="A8" s="89"/>
      <c r="B8" s="87"/>
      <c r="C8" s="89"/>
      <c r="D8" s="87"/>
      <c r="E8" s="89"/>
      <c r="F8" s="95"/>
      <c r="G8" s="85"/>
      <c r="H8" s="85"/>
      <c r="I8" s="96"/>
      <c r="J8" s="95"/>
      <c r="K8" s="96"/>
      <c r="L8" s="95"/>
      <c r="M8" s="85"/>
      <c r="N8" s="85"/>
      <c r="O8" s="16" t="s">
        <v>26</v>
      </c>
      <c r="P8" s="16" t="s">
        <v>27</v>
      </c>
      <c r="Q8" s="16" t="s">
        <v>28</v>
      </c>
      <c r="R8" s="85"/>
      <c r="S8" s="85"/>
      <c r="T8" s="85"/>
      <c r="U8" s="16" t="s">
        <v>26</v>
      </c>
      <c r="V8" s="16" t="s">
        <v>27</v>
      </c>
      <c r="W8" s="16" t="s">
        <v>28</v>
      </c>
    </row>
    <row r="9" spans="1:23" ht="60" customHeight="1" x14ac:dyDescent="0.3">
      <c r="A9" s="19" t="s">
        <v>89</v>
      </c>
      <c r="B9" s="20"/>
      <c r="C9" s="20"/>
      <c r="D9" s="20"/>
      <c r="E9" s="24" t="s">
        <v>132</v>
      </c>
      <c r="F9" s="100" t="s">
        <v>109</v>
      </c>
      <c r="G9" s="101"/>
      <c r="H9" s="101"/>
      <c r="I9" s="102"/>
      <c r="J9" s="35" t="s">
        <v>32</v>
      </c>
      <c r="K9" s="35"/>
      <c r="L9" s="36" t="s">
        <v>108</v>
      </c>
      <c r="M9" s="36"/>
      <c r="N9" s="36"/>
      <c r="O9" s="23">
        <v>2</v>
      </c>
      <c r="P9" s="23">
        <v>1</v>
      </c>
      <c r="Q9" s="23">
        <f>O9*P9</f>
        <v>2</v>
      </c>
      <c r="R9" s="36"/>
      <c r="S9" s="36"/>
      <c r="T9" s="36"/>
      <c r="U9" s="3"/>
      <c r="V9" s="3"/>
      <c r="W9" s="3"/>
    </row>
    <row r="10" spans="1:23" ht="60" customHeight="1" x14ac:dyDescent="0.3">
      <c r="A10" s="19" t="s">
        <v>89</v>
      </c>
      <c r="B10" s="20"/>
      <c r="C10" s="20"/>
      <c r="D10" s="20"/>
      <c r="E10" s="24" t="s">
        <v>132</v>
      </c>
      <c r="F10" s="100" t="s">
        <v>110</v>
      </c>
      <c r="G10" s="101"/>
      <c r="H10" s="101"/>
      <c r="I10" s="102"/>
      <c r="J10" s="103" t="s">
        <v>111</v>
      </c>
      <c r="K10" s="104"/>
      <c r="L10" s="36" t="s">
        <v>112</v>
      </c>
      <c r="M10" s="36"/>
      <c r="N10" s="36"/>
      <c r="O10" s="23">
        <v>2</v>
      </c>
      <c r="P10" s="23">
        <v>1</v>
      </c>
      <c r="Q10" s="23">
        <f>O10*P10</f>
        <v>2</v>
      </c>
      <c r="R10" s="36"/>
      <c r="S10" s="36"/>
      <c r="T10" s="36"/>
      <c r="U10" s="3"/>
      <c r="V10" s="3"/>
      <c r="W10" s="3"/>
    </row>
    <row r="11" spans="1:23" ht="60" customHeight="1" x14ac:dyDescent="0.3">
      <c r="A11" s="19"/>
      <c r="B11" s="20"/>
      <c r="C11" s="20"/>
      <c r="D11" s="20"/>
      <c r="E11" s="12"/>
      <c r="F11" s="72"/>
      <c r="G11" s="72"/>
      <c r="H11" s="72"/>
      <c r="I11" s="72"/>
      <c r="J11" s="98"/>
      <c r="K11" s="99"/>
      <c r="L11" s="72"/>
      <c r="M11" s="72"/>
      <c r="N11" s="72"/>
      <c r="O11" s="12"/>
      <c r="P11" s="12"/>
      <c r="Q11" s="12"/>
      <c r="R11" s="72"/>
      <c r="S11" s="72"/>
      <c r="T11" s="72"/>
      <c r="U11" s="12"/>
      <c r="V11" s="12"/>
      <c r="W11" s="12"/>
    </row>
    <row r="12" spans="1:23" ht="60" customHeight="1" x14ac:dyDescent="0.3">
      <c r="A12" s="19"/>
      <c r="B12" s="20"/>
      <c r="C12" s="20"/>
      <c r="D12" s="20"/>
      <c r="E12" s="12"/>
      <c r="F12" s="72"/>
      <c r="G12" s="72"/>
      <c r="H12" s="72"/>
      <c r="I12" s="72"/>
      <c r="J12" s="98"/>
      <c r="K12" s="99"/>
      <c r="L12" s="72"/>
      <c r="M12" s="72"/>
      <c r="N12" s="72"/>
      <c r="O12" s="12"/>
      <c r="P12" s="12"/>
      <c r="Q12" s="12"/>
      <c r="R12" s="72"/>
      <c r="S12" s="72"/>
      <c r="T12" s="72"/>
      <c r="U12" s="12"/>
      <c r="V12" s="12"/>
      <c r="W12" s="12"/>
    </row>
    <row r="13" spans="1:23" ht="60" customHeight="1" x14ac:dyDescent="0.3">
      <c r="A13" s="10"/>
      <c r="B13" s="11"/>
      <c r="C13" s="11"/>
      <c r="D13" s="11"/>
      <c r="E13" s="12"/>
      <c r="F13" s="97"/>
      <c r="G13" s="97"/>
      <c r="H13" s="97"/>
      <c r="I13" s="97"/>
      <c r="J13" s="71"/>
      <c r="K13" s="71"/>
      <c r="L13" s="72"/>
      <c r="M13" s="72"/>
      <c r="N13" s="72"/>
      <c r="O13" s="12"/>
      <c r="P13" s="12"/>
      <c r="Q13" s="12"/>
      <c r="R13" s="72"/>
      <c r="S13" s="72"/>
      <c r="T13" s="72"/>
      <c r="U13" s="12"/>
      <c r="V13" s="12"/>
      <c r="W13" s="12"/>
    </row>
    <row r="14" spans="1:23" ht="60" customHeight="1" x14ac:dyDescent="0.3">
      <c r="A14" s="11"/>
      <c r="B14" s="11"/>
      <c r="C14" s="11"/>
      <c r="D14" s="11"/>
      <c r="E14" s="12"/>
      <c r="F14" s="97"/>
      <c r="G14" s="97"/>
      <c r="H14" s="97"/>
      <c r="I14" s="97"/>
      <c r="J14" s="71"/>
      <c r="K14" s="71"/>
      <c r="L14" s="72"/>
      <c r="M14" s="72"/>
      <c r="N14" s="72"/>
      <c r="O14" s="12"/>
      <c r="P14" s="12"/>
      <c r="Q14" s="12"/>
      <c r="R14" s="72"/>
      <c r="S14" s="72"/>
      <c r="T14" s="72"/>
      <c r="U14" s="12"/>
      <c r="V14" s="12"/>
      <c r="W14" s="12"/>
    </row>
    <row r="15" spans="1:23" ht="60" customHeight="1" x14ac:dyDescent="0.3">
      <c r="A15" s="11"/>
      <c r="B15" s="11"/>
      <c r="C15" s="11"/>
      <c r="D15" s="11"/>
      <c r="E15" s="12"/>
      <c r="F15" s="97"/>
      <c r="G15" s="97"/>
      <c r="H15" s="97"/>
      <c r="I15" s="97"/>
      <c r="J15" s="71"/>
      <c r="K15" s="71"/>
      <c r="L15" s="72"/>
      <c r="M15" s="72"/>
      <c r="N15" s="72"/>
      <c r="O15" s="12"/>
      <c r="P15" s="12"/>
      <c r="Q15" s="12"/>
      <c r="R15" s="72"/>
      <c r="S15" s="72"/>
      <c r="T15" s="72"/>
      <c r="U15" s="12"/>
      <c r="V15" s="12"/>
      <c r="W15" s="12"/>
    </row>
    <row r="16" spans="1:23" ht="60" customHeight="1" x14ac:dyDescent="0.3">
      <c r="A16" s="11"/>
      <c r="B16" s="11"/>
      <c r="C16" s="11"/>
      <c r="D16" s="11"/>
      <c r="E16" s="12"/>
      <c r="F16" s="72"/>
      <c r="G16" s="72"/>
      <c r="H16" s="72"/>
      <c r="I16" s="72"/>
      <c r="J16" s="71"/>
      <c r="K16" s="71"/>
      <c r="L16" s="72"/>
      <c r="M16" s="72"/>
      <c r="N16" s="72"/>
      <c r="O16" s="12"/>
      <c r="P16" s="12"/>
      <c r="Q16" s="12"/>
      <c r="R16" s="72"/>
      <c r="S16" s="72"/>
      <c r="T16" s="72"/>
      <c r="U16" s="12"/>
      <c r="V16" s="12"/>
      <c r="W16" s="12"/>
    </row>
    <row r="17" spans="1:23" ht="60" customHeight="1" x14ac:dyDescent="0.3">
      <c r="A17" s="11"/>
      <c r="B17" s="11"/>
      <c r="C17" s="11"/>
      <c r="D17" s="11"/>
      <c r="E17" s="12"/>
      <c r="F17" s="72"/>
      <c r="G17" s="72"/>
      <c r="H17" s="72"/>
      <c r="I17" s="72"/>
      <c r="J17" s="71"/>
      <c r="K17" s="71"/>
      <c r="L17" s="72"/>
      <c r="M17" s="72"/>
      <c r="N17" s="72"/>
      <c r="O17" s="12"/>
      <c r="P17" s="12"/>
      <c r="Q17" s="12"/>
      <c r="R17" s="72"/>
      <c r="S17" s="72"/>
      <c r="T17" s="72"/>
      <c r="U17" s="12"/>
      <c r="V17" s="12"/>
      <c r="W17" s="12"/>
    </row>
    <row r="18" spans="1:23" ht="60" customHeight="1" x14ac:dyDescent="0.3">
      <c r="A18" s="11"/>
      <c r="B18" s="11"/>
      <c r="C18" s="11"/>
      <c r="D18" s="11"/>
      <c r="E18" s="12"/>
      <c r="F18" s="97"/>
      <c r="G18" s="97"/>
      <c r="H18" s="97"/>
      <c r="I18" s="97"/>
      <c r="J18" s="71"/>
      <c r="K18" s="71"/>
      <c r="L18" s="72"/>
      <c r="M18" s="72"/>
      <c r="N18" s="72"/>
      <c r="O18" s="12"/>
      <c r="P18" s="12"/>
      <c r="Q18" s="12"/>
      <c r="R18" s="72"/>
      <c r="S18" s="72"/>
      <c r="T18" s="72"/>
      <c r="U18" s="12"/>
      <c r="V18" s="12"/>
      <c r="W18" s="12"/>
    </row>
    <row r="19" spans="1:23" ht="60" customHeight="1" x14ac:dyDescent="0.3">
      <c r="A19" s="11"/>
      <c r="B19" s="11"/>
      <c r="C19" s="11"/>
      <c r="D19" s="11"/>
      <c r="E19" s="12"/>
      <c r="F19" s="97"/>
      <c r="G19" s="97"/>
      <c r="H19" s="97"/>
      <c r="I19" s="97"/>
      <c r="J19" s="71"/>
      <c r="K19" s="71"/>
      <c r="L19" s="72"/>
      <c r="M19" s="72"/>
      <c r="N19" s="72"/>
      <c r="O19" s="12"/>
      <c r="P19" s="12"/>
      <c r="Q19" s="12"/>
      <c r="R19" s="72"/>
      <c r="S19" s="72"/>
      <c r="T19" s="72"/>
      <c r="U19" s="12"/>
      <c r="V19" s="12"/>
      <c r="W19" s="12"/>
    </row>
    <row r="20" spans="1:23" ht="60" customHeight="1" x14ac:dyDescent="0.3">
      <c r="A20" s="11"/>
      <c r="B20" s="11"/>
      <c r="C20" s="11"/>
      <c r="D20" s="11"/>
      <c r="E20" s="12"/>
      <c r="F20" s="72"/>
      <c r="G20" s="72"/>
      <c r="H20" s="72"/>
      <c r="I20" s="72"/>
      <c r="J20" s="71"/>
      <c r="K20" s="71"/>
      <c r="L20" s="72"/>
      <c r="M20" s="72"/>
      <c r="N20" s="72"/>
      <c r="O20" s="12"/>
      <c r="P20" s="12"/>
      <c r="Q20" s="12"/>
      <c r="R20" s="72"/>
      <c r="S20" s="72"/>
      <c r="T20" s="72"/>
      <c r="U20" s="12"/>
      <c r="V20" s="12"/>
      <c r="W20" s="12"/>
    </row>
    <row r="21" spans="1:23" ht="60" customHeight="1" x14ac:dyDescent="0.3">
      <c r="A21" s="11"/>
      <c r="B21" s="11"/>
      <c r="C21" s="11"/>
      <c r="D21" s="11"/>
      <c r="E21" s="12"/>
      <c r="F21" s="97"/>
      <c r="G21" s="97"/>
      <c r="H21" s="97"/>
      <c r="I21" s="97"/>
      <c r="J21" s="71"/>
      <c r="K21" s="71"/>
      <c r="L21" s="72"/>
      <c r="M21" s="72"/>
      <c r="N21" s="72"/>
      <c r="O21" s="12"/>
      <c r="P21" s="12"/>
      <c r="Q21" s="12"/>
      <c r="R21" s="72"/>
      <c r="S21" s="72"/>
      <c r="T21" s="72"/>
      <c r="U21" s="12"/>
      <c r="V21" s="12"/>
      <c r="W21" s="12"/>
    </row>
    <row r="22" spans="1:23" ht="60" customHeight="1" x14ac:dyDescent="0.3">
      <c r="A22" s="11"/>
      <c r="B22" s="11"/>
      <c r="C22" s="11"/>
      <c r="D22" s="11"/>
      <c r="E22" s="12"/>
      <c r="F22" s="97"/>
      <c r="G22" s="97"/>
      <c r="H22" s="97"/>
      <c r="I22" s="97"/>
      <c r="J22" s="71"/>
      <c r="K22" s="71"/>
      <c r="L22" s="72"/>
      <c r="M22" s="72"/>
      <c r="N22" s="72"/>
      <c r="O22" s="12"/>
      <c r="P22" s="12"/>
      <c r="Q22" s="12"/>
      <c r="R22" s="72"/>
      <c r="S22" s="72"/>
      <c r="T22" s="72"/>
      <c r="U22" s="12"/>
      <c r="V22" s="12"/>
      <c r="W22" s="12"/>
    </row>
    <row r="23" spans="1:23" ht="60" customHeight="1" x14ac:dyDescent="0.3">
      <c r="A23" s="11"/>
      <c r="B23" s="11"/>
      <c r="C23" s="11"/>
      <c r="D23" s="11"/>
      <c r="E23" s="12"/>
      <c r="F23" s="97"/>
      <c r="G23" s="97"/>
      <c r="H23" s="97"/>
      <c r="I23" s="97"/>
      <c r="J23" s="71"/>
      <c r="K23" s="71"/>
      <c r="L23" s="72"/>
      <c r="M23" s="72"/>
      <c r="N23" s="72"/>
      <c r="O23" s="12"/>
      <c r="P23" s="12"/>
      <c r="Q23" s="12"/>
      <c r="R23" s="72"/>
      <c r="S23" s="72"/>
      <c r="T23" s="72"/>
      <c r="U23" s="12"/>
      <c r="V23" s="12"/>
      <c r="W23" s="12"/>
    </row>
    <row r="24" spans="1:23" ht="60" customHeight="1" x14ac:dyDescent="0.3">
      <c r="A24" s="11"/>
      <c r="B24" s="11"/>
      <c r="C24" s="11"/>
      <c r="D24" s="11"/>
      <c r="E24" s="12"/>
      <c r="F24" s="97"/>
      <c r="G24" s="97"/>
      <c r="H24" s="97"/>
      <c r="I24" s="97"/>
      <c r="J24" s="71"/>
      <c r="K24" s="71"/>
      <c r="L24" s="72"/>
      <c r="M24" s="72"/>
      <c r="N24" s="72"/>
      <c r="O24" s="12"/>
      <c r="P24" s="12"/>
      <c r="Q24" s="12"/>
      <c r="R24" s="72"/>
      <c r="S24" s="72"/>
      <c r="T24" s="72"/>
      <c r="U24" s="12"/>
      <c r="V24" s="12"/>
      <c r="W24" s="12"/>
    </row>
    <row r="25" spans="1:23" ht="60" customHeight="1" x14ac:dyDescent="0.3">
      <c r="A25" s="11"/>
      <c r="B25" s="11"/>
      <c r="C25" s="11"/>
      <c r="D25" s="11"/>
      <c r="E25" s="12"/>
      <c r="F25" s="72"/>
      <c r="G25" s="72"/>
      <c r="H25" s="72"/>
      <c r="I25" s="72"/>
      <c r="J25" s="71"/>
      <c r="K25" s="71"/>
      <c r="L25" s="72"/>
      <c r="M25" s="72"/>
      <c r="N25" s="72"/>
      <c r="O25" s="12"/>
      <c r="P25" s="12"/>
      <c r="Q25" s="12"/>
      <c r="R25" s="72"/>
      <c r="S25" s="72"/>
      <c r="T25" s="72"/>
      <c r="U25" s="12"/>
      <c r="V25" s="12"/>
      <c r="W25" s="12"/>
    </row>
    <row r="26" spans="1:23" ht="60" customHeight="1" x14ac:dyDescent="0.3">
      <c r="A26" s="11"/>
      <c r="B26" s="11"/>
      <c r="C26" s="11"/>
      <c r="D26" s="11"/>
      <c r="E26" s="12"/>
      <c r="F26" s="97"/>
      <c r="G26" s="97"/>
      <c r="H26" s="97"/>
      <c r="I26" s="97"/>
      <c r="J26" s="71"/>
      <c r="K26" s="71"/>
      <c r="L26" s="72"/>
      <c r="M26" s="72"/>
      <c r="N26" s="72"/>
      <c r="O26" s="12"/>
      <c r="P26" s="12"/>
      <c r="Q26" s="12"/>
      <c r="R26" s="72"/>
      <c r="S26" s="72"/>
      <c r="T26" s="72"/>
      <c r="U26" s="12"/>
      <c r="V26" s="12"/>
      <c r="W26" s="12"/>
    </row>
    <row r="27" spans="1:23" ht="60" customHeight="1" x14ac:dyDescent="0.3">
      <c r="A27" s="11"/>
      <c r="B27" s="11"/>
      <c r="C27" s="11"/>
      <c r="D27" s="11"/>
      <c r="E27" s="12"/>
      <c r="F27" s="97"/>
      <c r="G27" s="97"/>
      <c r="H27" s="97"/>
      <c r="I27" s="97"/>
      <c r="J27" s="71"/>
      <c r="K27" s="71"/>
      <c r="L27" s="72"/>
      <c r="M27" s="72"/>
      <c r="N27" s="72"/>
      <c r="O27" s="12"/>
      <c r="P27" s="12"/>
      <c r="Q27" s="12"/>
      <c r="R27" s="72"/>
      <c r="S27" s="72"/>
      <c r="T27" s="72"/>
      <c r="U27" s="12"/>
      <c r="V27" s="12"/>
      <c r="W27" s="12"/>
    </row>
    <row r="28" spans="1:23" ht="60" customHeight="1" x14ac:dyDescent="0.3">
      <c r="A28" s="11"/>
      <c r="B28" s="11"/>
      <c r="C28" s="11"/>
      <c r="D28" s="11"/>
      <c r="E28" s="12"/>
      <c r="F28" s="72"/>
      <c r="G28" s="72"/>
      <c r="H28" s="72"/>
      <c r="I28" s="72"/>
      <c r="J28" s="71"/>
      <c r="K28" s="71"/>
      <c r="L28" s="72"/>
      <c r="M28" s="72"/>
      <c r="N28" s="72"/>
      <c r="O28" s="12"/>
      <c r="P28" s="12"/>
      <c r="Q28" s="12"/>
      <c r="R28" s="72"/>
      <c r="S28" s="72"/>
      <c r="T28" s="72"/>
      <c r="U28" s="12"/>
      <c r="V28" s="12"/>
      <c r="W28" s="12"/>
    </row>
    <row r="29" spans="1:23" ht="60" customHeight="1" x14ac:dyDescent="0.3">
      <c r="A29" s="11"/>
      <c r="B29" s="11"/>
      <c r="C29" s="11"/>
      <c r="D29" s="11"/>
      <c r="E29" s="12"/>
      <c r="F29" s="97"/>
      <c r="G29" s="97"/>
      <c r="H29" s="97"/>
      <c r="I29" s="97"/>
      <c r="J29" s="71"/>
      <c r="K29" s="71"/>
      <c r="L29" s="72"/>
      <c r="M29" s="72"/>
      <c r="N29" s="72"/>
      <c r="O29" s="12"/>
      <c r="P29" s="12"/>
      <c r="Q29" s="12"/>
      <c r="R29" s="72"/>
      <c r="S29" s="72"/>
      <c r="T29" s="72"/>
      <c r="U29" s="12"/>
      <c r="V29" s="12"/>
      <c r="W29" s="12"/>
    </row>
    <row r="30" spans="1:23" ht="60" customHeight="1" x14ac:dyDescent="0.3">
      <c r="A30" s="11"/>
      <c r="B30" s="11"/>
      <c r="C30" s="11"/>
      <c r="D30" s="11"/>
      <c r="E30" s="12"/>
      <c r="F30" s="97"/>
      <c r="G30" s="97"/>
      <c r="H30" s="97"/>
      <c r="I30" s="97"/>
      <c r="J30" s="71"/>
      <c r="K30" s="71"/>
      <c r="L30" s="72"/>
      <c r="M30" s="72"/>
      <c r="N30" s="72"/>
      <c r="O30" s="12"/>
      <c r="P30" s="12"/>
      <c r="Q30" s="12"/>
      <c r="R30" s="72"/>
      <c r="S30" s="72"/>
      <c r="T30" s="72"/>
      <c r="U30" s="12"/>
      <c r="V30" s="12"/>
      <c r="W30" s="12"/>
    </row>
    <row r="31" spans="1:23" ht="60" customHeight="1" x14ac:dyDescent="0.3">
      <c r="A31" s="11"/>
      <c r="B31" s="11"/>
      <c r="C31" s="11"/>
      <c r="D31" s="11"/>
      <c r="E31" s="12"/>
      <c r="F31" s="72"/>
      <c r="G31" s="72"/>
      <c r="H31" s="72"/>
      <c r="I31" s="72"/>
      <c r="J31" s="71"/>
      <c r="K31" s="71"/>
      <c r="L31" s="72"/>
      <c r="M31" s="72"/>
      <c r="N31" s="72"/>
      <c r="O31" s="12"/>
      <c r="P31" s="12"/>
      <c r="Q31" s="12"/>
      <c r="R31" s="72"/>
      <c r="S31" s="72"/>
      <c r="T31" s="72"/>
      <c r="U31" s="12"/>
      <c r="V31" s="12"/>
      <c r="W31" s="12"/>
    </row>
    <row r="32" spans="1:23" ht="60" customHeight="1" x14ac:dyDescent="0.3">
      <c r="A32" s="11"/>
      <c r="B32" s="11"/>
      <c r="C32" s="11"/>
      <c r="D32" s="11"/>
      <c r="E32" s="12"/>
      <c r="F32" s="97"/>
      <c r="G32" s="97"/>
      <c r="H32" s="97"/>
      <c r="I32" s="97"/>
      <c r="J32" s="71"/>
      <c r="K32" s="71"/>
      <c r="L32" s="72"/>
      <c r="M32" s="72"/>
      <c r="N32" s="72"/>
      <c r="O32" s="12"/>
      <c r="P32" s="12"/>
      <c r="Q32" s="12"/>
      <c r="R32" s="72"/>
      <c r="S32" s="72"/>
      <c r="T32" s="72"/>
      <c r="U32" s="12"/>
      <c r="V32" s="12"/>
      <c r="W32" s="12"/>
    </row>
    <row r="33" spans="1:23" ht="60" customHeight="1" x14ac:dyDescent="0.3">
      <c r="A33" s="11"/>
      <c r="B33" s="11"/>
      <c r="C33" s="11"/>
      <c r="D33" s="11"/>
      <c r="E33" s="12"/>
      <c r="F33" s="97"/>
      <c r="G33" s="97"/>
      <c r="H33" s="97"/>
      <c r="I33" s="97"/>
      <c r="J33" s="71"/>
      <c r="K33" s="71"/>
      <c r="L33" s="72"/>
      <c r="M33" s="72"/>
      <c r="N33" s="72"/>
      <c r="O33" s="12"/>
      <c r="P33" s="12"/>
      <c r="Q33" s="12"/>
      <c r="R33" s="72"/>
      <c r="S33" s="72"/>
      <c r="T33" s="72"/>
      <c r="U33" s="12"/>
      <c r="V33" s="12"/>
      <c r="W33" s="12"/>
    </row>
    <row r="34" spans="1:23" ht="60" customHeight="1" x14ac:dyDescent="0.3">
      <c r="A34" s="11"/>
      <c r="B34" s="11"/>
      <c r="C34" s="11"/>
      <c r="D34" s="11"/>
      <c r="E34" s="12"/>
      <c r="F34" s="97"/>
      <c r="G34" s="97"/>
      <c r="H34" s="97"/>
      <c r="I34" s="97"/>
      <c r="J34" s="71"/>
      <c r="K34" s="71"/>
      <c r="L34" s="72"/>
      <c r="M34" s="72"/>
      <c r="N34" s="72"/>
      <c r="O34" s="12"/>
      <c r="P34" s="12"/>
      <c r="Q34" s="12"/>
      <c r="R34" s="72"/>
      <c r="S34" s="72"/>
      <c r="T34" s="72"/>
      <c r="U34" s="12"/>
      <c r="V34" s="12"/>
      <c r="W34" s="12"/>
    </row>
    <row r="35" spans="1:23" ht="60" customHeight="1" x14ac:dyDescent="0.3">
      <c r="A35" s="11"/>
      <c r="B35" s="11"/>
      <c r="C35" s="11"/>
      <c r="D35" s="11"/>
      <c r="E35" s="12"/>
      <c r="F35" s="97"/>
      <c r="G35" s="97"/>
      <c r="H35" s="97"/>
      <c r="I35" s="97"/>
      <c r="J35" s="71"/>
      <c r="K35" s="71"/>
      <c r="L35" s="72"/>
      <c r="M35" s="72"/>
      <c r="N35" s="72"/>
      <c r="O35" s="12"/>
      <c r="P35" s="12"/>
      <c r="Q35" s="12"/>
      <c r="R35" s="72"/>
      <c r="S35" s="72"/>
      <c r="T35" s="72"/>
      <c r="U35" s="12"/>
      <c r="V35" s="12"/>
      <c r="W35" s="12"/>
    </row>
    <row r="36" spans="1:23" ht="60" customHeight="1" x14ac:dyDescent="0.3">
      <c r="A36" s="11"/>
      <c r="B36" s="11"/>
      <c r="C36" s="11"/>
      <c r="D36" s="11"/>
      <c r="E36" s="12"/>
      <c r="F36" s="72"/>
      <c r="G36" s="72"/>
      <c r="H36" s="72"/>
      <c r="I36" s="72"/>
      <c r="J36" s="71"/>
      <c r="K36" s="71"/>
      <c r="L36" s="72"/>
      <c r="M36" s="72"/>
      <c r="N36" s="72"/>
      <c r="O36" s="12"/>
      <c r="P36" s="12"/>
      <c r="Q36" s="12"/>
      <c r="R36" s="72"/>
      <c r="S36" s="72"/>
      <c r="T36" s="72"/>
      <c r="U36" s="12"/>
      <c r="V36" s="12"/>
      <c r="W36" s="12"/>
    </row>
    <row r="37" spans="1:23" ht="60" customHeight="1" x14ac:dyDescent="0.3">
      <c r="A37" s="11"/>
      <c r="B37" s="11"/>
      <c r="C37" s="11"/>
      <c r="D37" s="11"/>
      <c r="E37" s="12"/>
      <c r="F37" s="97"/>
      <c r="G37" s="97"/>
      <c r="H37" s="97"/>
      <c r="I37" s="97"/>
      <c r="J37" s="71"/>
      <c r="K37" s="71"/>
      <c r="L37" s="72"/>
      <c r="M37" s="72"/>
      <c r="N37" s="72"/>
      <c r="O37" s="12"/>
      <c r="P37" s="12"/>
      <c r="Q37" s="12"/>
      <c r="R37" s="72"/>
      <c r="S37" s="72"/>
      <c r="T37" s="72"/>
      <c r="U37" s="12"/>
      <c r="V37" s="12"/>
      <c r="W37" s="12"/>
    </row>
    <row r="38" spans="1:23" ht="60" customHeight="1" x14ac:dyDescent="0.3">
      <c r="A38" s="11"/>
      <c r="B38" s="11"/>
      <c r="C38" s="11"/>
      <c r="D38" s="11"/>
      <c r="E38" s="12"/>
      <c r="F38" s="97"/>
      <c r="G38" s="97"/>
      <c r="H38" s="97"/>
      <c r="I38" s="97"/>
      <c r="J38" s="71"/>
      <c r="K38" s="71"/>
      <c r="L38" s="72"/>
      <c r="M38" s="72"/>
      <c r="N38" s="72"/>
      <c r="O38" s="12"/>
      <c r="P38" s="12"/>
      <c r="Q38" s="12"/>
      <c r="R38" s="72"/>
      <c r="S38" s="72"/>
      <c r="T38" s="72"/>
      <c r="U38" s="12"/>
      <c r="V38" s="12"/>
      <c r="W38" s="12"/>
    </row>
    <row r="39" spans="1:23" ht="60" customHeight="1" x14ac:dyDescent="0.3">
      <c r="A39" s="11"/>
      <c r="B39" s="11"/>
      <c r="C39" s="11"/>
      <c r="D39" s="11"/>
      <c r="E39" s="12"/>
      <c r="F39" s="72"/>
      <c r="G39" s="72"/>
      <c r="H39" s="72"/>
      <c r="I39" s="72"/>
      <c r="J39" s="71"/>
      <c r="K39" s="71"/>
      <c r="L39" s="72"/>
      <c r="M39" s="72"/>
      <c r="N39" s="72"/>
      <c r="O39" s="12"/>
      <c r="P39" s="12"/>
      <c r="Q39" s="12"/>
      <c r="R39" s="72"/>
      <c r="S39" s="72"/>
      <c r="T39" s="72"/>
      <c r="U39" s="12"/>
      <c r="V39" s="12"/>
      <c r="W39" s="12"/>
    </row>
    <row r="40" spans="1:23" ht="60" customHeight="1" x14ac:dyDescent="0.3">
      <c r="A40" s="11"/>
      <c r="B40" s="11"/>
      <c r="C40" s="11"/>
      <c r="D40" s="11"/>
      <c r="E40" s="12"/>
      <c r="F40" s="97"/>
      <c r="G40" s="97"/>
      <c r="H40" s="97"/>
      <c r="I40" s="97"/>
      <c r="J40" s="71"/>
      <c r="K40" s="71"/>
      <c r="L40" s="72"/>
      <c r="M40" s="72"/>
      <c r="N40" s="72"/>
      <c r="O40" s="12"/>
      <c r="P40" s="12"/>
      <c r="Q40" s="12"/>
      <c r="R40" s="72"/>
      <c r="S40" s="72"/>
      <c r="T40" s="72"/>
      <c r="U40" s="12"/>
      <c r="V40" s="12"/>
      <c r="W40" s="12"/>
    </row>
    <row r="41" spans="1:23" ht="60" customHeight="1" x14ac:dyDescent="0.3">
      <c r="A41" s="11"/>
      <c r="B41" s="11"/>
      <c r="C41" s="11"/>
      <c r="D41" s="11"/>
      <c r="E41" s="12"/>
      <c r="F41" s="97"/>
      <c r="G41" s="97"/>
      <c r="H41" s="97"/>
      <c r="I41" s="97"/>
      <c r="J41" s="71"/>
      <c r="K41" s="71"/>
      <c r="L41" s="72"/>
      <c r="M41" s="72"/>
      <c r="N41" s="72"/>
      <c r="O41" s="12"/>
      <c r="P41" s="12"/>
      <c r="Q41" s="12"/>
      <c r="R41" s="72"/>
      <c r="S41" s="72"/>
      <c r="T41" s="72"/>
      <c r="U41" s="12"/>
      <c r="V41" s="12"/>
      <c r="W41" s="12"/>
    </row>
    <row r="42" spans="1:23" ht="60" customHeight="1" x14ac:dyDescent="0.3">
      <c r="A42" s="11"/>
      <c r="B42" s="11"/>
      <c r="C42" s="11"/>
      <c r="D42" s="11"/>
      <c r="E42" s="12"/>
      <c r="F42" s="97"/>
      <c r="G42" s="97"/>
      <c r="H42" s="97"/>
      <c r="I42" s="97"/>
      <c r="J42" s="71"/>
      <c r="K42" s="71"/>
      <c r="L42" s="72"/>
      <c r="M42" s="72"/>
      <c r="N42" s="72"/>
      <c r="O42" s="12"/>
      <c r="P42" s="12"/>
      <c r="Q42" s="12"/>
      <c r="R42" s="72"/>
      <c r="S42" s="72"/>
      <c r="T42" s="72"/>
      <c r="U42" s="12"/>
      <c r="V42" s="12"/>
      <c r="W42" s="12"/>
    </row>
    <row r="125" spans="9:9" x14ac:dyDescent="0.3">
      <c r="I125" t="s">
        <v>10</v>
      </c>
    </row>
  </sheetData>
  <mergeCells count="158">
    <mergeCell ref="F11:I11"/>
    <mergeCell ref="J11:K11"/>
    <mergeCell ref="L11:N11"/>
    <mergeCell ref="R11:T11"/>
    <mergeCell ref="F41:I41"/>
    <mergeCell ref="J41:K41"/>
    <mergeCell ref="L41:N41"/>
    <mergeCell ref="R41:T41"/>
    <mergeCell ref="F42:I42"/>
    <mergeCell ref="J42:K42"/>
    <mergeCell ref="L42:N42"/>
    <mergeCell ref="R42:T42"/>
    <mergeCell ref="F39:I39"/>
    <mergeCell ref="J39:K39"/>
    <mergeCell ref="L39:N39"/>
    <mergeCell ref="R39:T39"/>
    <mergeCell ref="F40:I40"/>
    <mergeCell ref="J40:K40"/>
    <mergeCell ref="L40:N40"/>
    <mergeCell ref="R40:T40"/>
    <mergeCell ref="F37:I37"/>
    <mergeCell ref="J37:K37"/>
    <mergeCell ref="L37:N37"/>
    <mergeCell ref="R37:T37"/>
    <mergeCell ref="F38:I38"/>
    <mergeCell ref="J38:K38"/>
    <mergeCell ref="L38:N38"/>
    <mergeCell ref="R38:T38"/>
    <mergeCell ref="F35:I35"/>
    <mergeCell ref="J35:K35"/>
    <mergeCell ref="L35:N35"/>
    <mergeCell ref="R35:T35"/>
    <mergeCell ref="F36:I36"/>
    <mergeCell ref="J36:K36"/>
    <mergeCell ref="L36:N36"/>
    <mergeCell ref="R36:T36"/>
    <mergeCell ref="F33:I33"/>
    <mergeCell ref="J33:K33"/>
    <mergeCell ref="L33:N33"/>
    <mergeCell ref="R33:T33"/>
    <mergeCell ref="F34:I34"/>
    <mergeCell ref="J34:K34"/>
    <mergeCell ref="L34:N34"/>
    <mergeCell ref="R34:T34"/>
    <mergeCell ref="F31:I31"/>
    <mergeCell ref="J31:K31"/>
    <mergeCell ref="L31:N31"/>
    <mergeCell ref="R31:T31"/>
    <mergeCell ref="F32:I32"/>
    <mergeCell ref="J32:K32"/>
    <mergeCell ref="L32:N32"/>
    <mergeCell ref="R32:T32"/>
    <mergeCell ref="F29:I29"/>
    <mergeCell ref="J29:K29"/>
    <mergeCell ref="L29:N29"/>
    <mergeCell ref="R29:T29"/>
    <mergeCell ref="F30:I30"/>
    <mergeCell ref="J30:K30"/>
    <mergeCell ref="L30:N30"/>
    <mergeCell ref="R30:T30"/>
    <mergeCell ref="F27:I27"/>
    <mergeCell ref="J27:K27"/>
    <mergeCell ref="L27:N27"/>
    <mergeCell ref="R27:T27"/>
    <mergeCell ref="F28:I28"/>
    <mergeCell ref="J28:K28"/>
    <mergeCell ref="L28:N28"/>
    <mergeCell ref="R28:T28"/>
    <mergeCell ref="F25:I25"/>
    <mergeCell ref="J25:K25"/>
    <mergeCell ref="L25:N25"/>
    <mergeCell ref="R25:T25"/>
    <mergeCell ref="F26:I26"/>
    <mergeCell ref="J26:K26"/>
    <mergeCell ref="L26:N26"/>
    <mergeCell ref="R26:T26"/>
    <mergeCell ref="F23:I23"/>
    <mergeCell ref="J23:K23"/>
    <mergeCell ref="L23:N23"/>
    <mergeCell ref="R23:T23"/>
    <mergeCell ref="F24:I24"/>
    <mergeCell ref="J24:K24"/>
    <mergeCell ref="L24:N24"/>
    <mergeCell ref="R24:T24"/>
    <mergeCell ref="F21:I21"/>
    <mergeCell ref="J21:K21"/>
    <mergeCell ref="L21:N21"/>
    <mergeCell ref="R21:T21"/>
    <mergeCell ref="F22:I22"/>
    <mergeCell ref="J22:K22"/>
    <mergeCell ref="L22:N22"/>
    <mergeCell ref="R22:T22"/>
    <mergeCell ref="F19:I19"/>
    <mergeCell ref="J19:K19"/>
    <mergeCell ref="L19:N19"/>
    <mergeCell ref="R19:T19"/>
    <mergeCell ref="F20:I20"/>
    <mergeCell ref="J20:K20"/>
    <mergeCell ref="L20:N20"/>
    <mergeCell ref="R20:T20"/>
    <mergeCell ref="F17:I17"/>
    <mergeCell ref="J17:K17"/>
    <mergeCell ref="L17:N17"/>
    <mergeCell ref="R17:T17"/>
    <mergeCell ref="F18:I18"/>
    <mergeCell ref="J18:K18"/>
    <mergeCell ref="L18:N18"/>
    <mergeCell ref="R18:T18"/>
    <mergeCell ref="F15:I15"/>
    <mergeCell ref="J15:K15"/>
    <mergeCell ref="L15:N15"/>
    <mergeCell ref="R15:T15"/>
    <mergeCell ref="F16:I16"/>
    <mergeCell ref="J16:K16"/>
    <mergeCell ref="L16:N16"/>
    <mergeCell ref="R16:T16"/>
    <mergeCell ref="F13:I13"/>
    <mergeCell ref="J13:K13"/>
    <mergeCell ref="L13:N13"/>
    <mergeCell ref="R13:T13"/>
    <mergeCell ref="F14:I14"/>
    <mergeCell ref="J14:K14"/>
    <mergeCell ref="L14:N14"/>
    <mergeCell ref="R14:T14"/>
    <mergeCell ref="F12:I12"/>
    <mergeCell ref="J12:K12"/>
    <mergeCell ref="L12:N12"/>
    <mergeCell ref="R12:T12"/>
    <mergeCell ref="F9:I9"/>
    <mergeCell ref="J9:K9"/>
    <mergeCell ref="L9:N9"/>
    <mergeCell ref="R9:T9"/>
    <mergeCell ref="F10:I10"/>
    <mergeCell ref="J10:K10"/>
    <mergeCell ref="L10:N10"/>
    <mergeCell ref="R10:T10"/>
    <mergeCell ref="O6:Q6"/>
    <mergeCell ref="R6:T8"/>
    <mergeCell ref="U6:W6"/>
    <mergeCell ref="B7:B8"/>
    <mergeCell ref="C7:C8"/>
    <mergeCell ref="D7:D8"/>
    <mergeCell ref="A6:A8"/>
    <mergeCell ref="B6:D6"/>
    <mergeCell ref="E6:E8"/>
    <mergeCell ref="F6:I8"/>
    <mergeCell ref="J6:K8"/>
    <mergeCell ref="L6:N8"/>
    <mergeCell ref="A1:T1"/>
    <mergeCell ref="B2:E2"/>
    <mergeCell ref="F2:Q5"/>
    <mergeCell ref="R2:S5"/>
    <mergeCell ref="U2:W2"/>
    <mergeCell ref="B3:E3"/>
    <mergeCell ref="T3:T5"/>
    <mergeCell ref="U3:W5"/>
    <mergeCell ref="B4:E4"/>
    <mergeCell ref="B5:E5"/>
  </mergeCells>
  <phoneticPr fontId="4" type="noConversion"/>
  <conditionalFormatting sqref="O9:O10">
    <cfRule type="cellIs" dxfId="20" priority="4" operator="between">
      <formula>15</formula>
      <formula>20</formula>
    </cfRule>
    <cfRule type="cellIs" dxfId="19" priority="5" operator="between">
      <formula>9</formula>
      <formula>12</formula>
    </cfRule>
    <cfRule type="cellIs" dxfId="18" priority="6" operator="equal">
      <formula>8</formula>
    </cfRule>
  </conditionalFormatting>
  <conditionalFormatting sqref="P10">
    <cfRule type="cellIs" dxfId="17" priority="1" operator="between">
      <formula>15</formula>
      <formula>20</formula>
    </cfRule>
    <cfRule type="cellIs" dxfId="16" priority="2" operator="between">
      <formula>9</formula>
      <formula>12</formula>
    </cfRule>
    <cfRule type="cellIs" dxfId="15" priority="3" operator="equal">
      <formula>8</formula>
    </cfRule>
  </conditionalFormatting>
  <conditionalFormatting sqref="Q9:Q42">
    <cfRule type="cellIs" dxfId="14" priority="10" operator="between">
      <formula>15</formula>
      <formula>20</formula>
    </cfRule>
    <cfRule type="cellIs" dxfId="13" priority="11" operator="between">
      <formula>9</formula>
      <formula>12</formula>
    </cfRule>
    <cfRule type="cellIs" dxfId="12" priority="12" operator="equal">
      <formula>8</formula>
    </cfRule>
  </conditionalFormatting>
  <conditionalFormatting sqref="W9:W42">
    <cfRule type="cellIs" dxfId="11" priority="13" operator="between">
      <formula>15</formula>
      <formula>20</formula>
    </cfRule>
    <cfRule type="cellIs" dxfId="10" priority="14" operator="between">
      <formula>9</formula>
      <formula>12</formula>
    </cfRule>
    <cfRule type="cellIs" dxfId="9" priority="15" operator="equal">
      <formula>8</formula>
    </cfRule>
  </conditionalFormatting>
  <pageMargins left="0.23622047244094491" right="0.23622047244094491" top="0.74803149606299213" bottom="0.74803149606299213" header="0.31496062992125984" footer="0.31496062992125984"/>
  <pageSetup paperSize="9" scale="50" orientation="landscape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600-000000000000}">
          <x14:formula1>
            <xm:f>'D:\Desktop\위험성평가\붙임1. 유해위험요인 분류표 및 위험성평가표(23년 네오트랜스)\협력사\윌앤비전\[유해위험요인 분류표 및 위험성평가표_윌앤비전(기지)_2024.xlsx]데이터필드'!#REF!</xm:f>
          </x14:formula1>
          <xm:sqref>D13:D42 J11:K42 U11:V42 O11:P42</xm:sqref>
        </x14:dataValidation>
        <x14:dataValidation type="list" allowBlank="1" showInputMessage="1" showErrorMessage="1" xr:uid="{00000000-0002-0000-0600-000001000000}">
          <x14:formula1>
            <xm:f>'D:\Desktop\문서\5.안전관리계획서,위험성평가\2024\폐기물처리장 통풍창 폐쇄작업\[위험성평가.xlsx]데이터필드'!#REF!</xm:f>
          </x14:formula1>
          <xm:sqref>D9:D12 U10:V10 J10:K10</xm:sqref>
        </x14:dataValidation>
        <x14:dataValidation type="list" allowBlank="1" showInputMessage="1" showErrorMessage="1" xr:uid="{00000000-0002-0000-0600-000002000000}">
          <x14:formula1>
            <xm:f>'D:\Desktop\위험성평가\붙임1. 유해위험요인 분류표 및 위험성평가표(23년 네오트랜스)\협력사\윌앤비전\[유해위험요인 분류표 및 위험성평가표_윌앤비전(기지)_2024.xlsx]데이터필드'!#REF!</xm:f>
          </x14:formula1>
          <xm:sqref>U9:V9 P9</xm:sqref>
        </x14:dataValidation>
        <x14:dataValidation type="list" allowBlank="1" showInputMessage="1" showErrorMessage="1" xr:uid="{00000000-0002-0000-0600-000003000000}">
          <x14:formula1>
            <xm:f>'D:\0\8.위험성평가\25년도\위험성평가(부서별)_24년도 정기,수시 최종 반영\네오\시설\[위험성평가표_시설(시설관리)_2024.xlsx]데이터필드'!#REF!</xm:f>
          </x14:formula1>
          <xm:sqref>J9:K9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5" tint="-0.249977111117893"/>
  </sheetPr>
  <dimension ref="A1:W125"/>
  <sheetViews>
    <sheetView view="pageBreakPreview" zoomScale="85" zoomScaleNormal="100" zoomScaleSheetLayoutView="85" workbookViewId="0">
      <pane ySplit="8" topLeftCell="A9" activePane="bottomLeft" state="frozen"/>
      <selection activeCell="D14" sqref="D14"/>
      <selection pane="bottomLeft" activeCell="D14" sqref="D14"/>
    </sheetView>
  </sheetViews>
  <sheetFormatPr defaultRowHeight="16.5" x14ac:dyDescent="0.3"/>
  <cols>
    <col min="1" max="1" width="15.625" customWidth="1"/>
    <col min="2" max="4" width="13.625" customWidth="1"/>
    <col min="5" max="5" width="13.625" style="9" customWidth="1"/>
    <col min="6" max="9" width="13.625" customWidth="1"/>
    <col min="10" max="11" width="5.625" customWidth="1"/>
    <col min="12" max="14" width="13.625" customWidth="1"/>
    <col min="15" max="17" width="7.625" customWidth="1"/>
    <col min="18" max="19" width="9.625" customWidth="1"/>
    <col min="20" max="23" width="10.625" customWidth="1"/>
  </cols>
  <sheetData>
    <row r="1" spans="1:23" ht="30" customHeight="1" x14ac:dyDescent="0.3">
      <c r="A1" s="37" t="s">
        <v>2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4"/>
      <c r="V1" s="4"/>
      <c r="W1" s="4"/>
    </row>
    <row r="2" spans="1:23" ht="39.950000000000003" customHeight="1" x14ac:dyDescent="0.3">
      <c r="A2" s="13" t="s">
        <v>16</v>
      </c>
      <c r="B2" s="58" t="s">
        <v>95</v>
      </c>
      <c r="C2" s="59"/>
      <c r="D2" s="59"/>
      <c r="E2" s="60"/>
      <c r="F2" s="73" t="s">
        <v>4</v>
      </c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4" t="s">
        <v>24</v>
      </c>
      <c r="S2" s="75"/>
      <c r="T2" s="14" t="s">
        <v>22</v>
      </c>
      <c r="U2" s="71"/>
      <c r="V2" s="71"/>
      <c r="W2" s="71"/>
    </row>
    <row r="3" spans="1:23" ht="30" customHeight="1" x14ac:dyDescent="0.3">
      <c r="A3" s="13" t="s">
        <v>18</v>
      </c>
      <c r="B3" s="58" t="s">
        <v>130</v>
      </c>
      <c r="C3" s="59"/>
      <c r="D3" s="59"/>
      <c r="E3" s="60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6"/>
      <c r="S3" s="77"/>
      <c r="T3" s="71" t="s">
        <v>23</v>
      </c>
      <c r="U3" s="71" t="s">
        <v>123</v>
      </c>
      <c r="V3" s="71"/>
      <c r="W3" s="71"/>
    </row>
    <row r="4" spans="1:23" ht="30" customHeight="1" x14ac:dyDescent="0.3">
      <c r="A4" s="13" t="s">
        <v>19</v>
      </c>
      <c r="B4" s="58" t="s">
        <v>122</v>
      </c>
      <c r="C4" s="59"/>
      <c r="D4" s="59"/>
      <c r="E4" s="60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6"/>
      <c r="S4" s="77"/>
      <c r="T4" s="71"/>
      <c r="U4" s="71"/>
      <c r="V4" s="71"/>
      <c r="W4" s="71"/>
    </row>
    <row r="5" spans="1:23" ht="30" customHeight="1" x14ac:dyDescent="0.3">
      <c r="A5" s="13" t="s">
        <v>0</v>
      </c>
      <c r="B5" s="58" t="s">
        <v>133</v>
      </c>
      <c r="C5" s="59"/>
      <c r="D5" s="59"/>
      <c r="E5" s="60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8"/>
      <c r="S5" s="79"/>
      <c r="T5" s="71"/>
      <c r="U5" s="71"/>
      <c r="V5" s="71"/>
      <c r="W5" s="71"/>
    </row>
    <row r="6" spans="1:23" ht="39.950000000000003" customHeight="1" x14ac:dyDescent="0.3">
      <c r="A6" s="88" t="s">
        <v>20</v>
      </c>
      <c r="B6" s="58" t="s">
        <v>11</v>
      </c>
      <c r="C6" s="59"/>
      <c r="D6" s="60"/>
      <c r="E6" s="88" t="s">
        <v>81</v>
      </c>
      <c r="F6" s="91" t="s">
        <v>82</v>
      </c>
      <c r="G6" s="83"/>
      <c r="H6" s="83"/>
      <c r="I6" s="92"/>
      <c r="J6" s="91" t="s">
        <v>5</v>
      </c>
      <c r="K6" s="92"/>
      <c r="L6" s="91" t="s">
        <v>15</v>
      </c>
      <c r="M6" s="83"/>
      <c r="N6" s="83"/>
      <c r="O6" s="80" t="s">
        <v>8</v>
      </c>
      <c r="P6" s="81"/>
      <c r="Q6" s="82"/>
      <c r="R6" s="83" t="s">
        <v>3</v>
      </c>
      <c r="S6" s="83"/>
      <c r="T6" s="83"/>
      <c r="U6" s="80" t="s">
        <v>21</v>
      </c>
      <c r="V6" s="81"/>
      <c r="W6" s="82"/>
    </row>
    <row r="7" spans="1:23" ht="30" customHeight="1" x14ac:dyDescent="0.3">
      <c r="A7" s="90"/>
      <c r="B7" s="86" t="s">
        <v>12</v>
      </c>
      <c r="C7" s="88" t="s">
        <v>13</v>
      </c>
      <c r="D7" s="86" t="s">
        <v>14</v>
      </c>
      <c r="E7" s="90"/>
      <c r="F7" s="93"/>
      <c r="G7" s="84"/>
      <c r="H7" s="84"/>
      <c r="I7" s="94"/>
      <c r="J7" s="93"/>
      <c r="K7" s="94"/>
      <c r="L7" s="93"/>
      <c r="M7" s="84"/>
      <c r="N7" s="84"/>
      <c r="O7" s="15" t="s">
        <v>6</v>
      </c>
      <c r="P7" s="15" t="s">
        <v>7</v>
      </c>
      <c r="Q7" s="15" t="s">
        <v>25</v>
      </c>
      <c r="R7" s="84"/>
      <c r="S7" s="84"/>
      <c r="T7" s="84"/>
      <c r="U7" s="15" t="s">
        <v>6</v>
      </c>
      <c r="V7" s="15" t="s">
        <v>7</v>
      </c>
      <c r="W7" s="15" t="s">
        <v>1</v>
      </c>
    </row>
    <row r="8" spans="1:23" ht="30" customHeight="1" x14ac:dyDescent="0.3">
      <c r="A8" s="89"/>
      <c r="B8" s="87"/>
      <c r="C8" s="89"/>
      <c r="D8" s="87"/>
      <c r="E8" s="89"/>
      <c r="F8" s="95"/>
      <c r="G8" s="85"/>
      <c r="H8" s="85"/>
      <c r="I8" s="96"/>
      <c r="J8" s="95"/>
      <c r="K8" s="96"/>
      <c r="L8" s="95"/>
      <c r="M8" s="85"/>
      <c r="N8" s="85"/>
      <c r="O8" s="16" t="s">
        <v>26</v>
      </c>
      <c r="P8" s="16" t="s">
        <v>27</v>
      </c>
      <c r="Q8" s="16" t="s">
        <v>28</v>
      </c>
      <c r="R8" s="85"/>
      <c r="S8" s="85"/>
      <c r="T8" s="85"/>
      <c r="U8" s="16" t="s">
        <v>26</v>
      </c>
      <c r="V8" s="16" t="s">
        <v>27</v>
      </c>
      <c r="W8" s="16" t="s">
        <v>28</v>
      </c>
    </row>
    <row r="9" spans="1:23" ht="60" customHeight="1" x14ac:dyDescent="0.3">
      <c r="A9" s="19" t="s">
        <v>98</v>
      </c>
      <c r="B9" s="20"/>
      <c r="C9" s="20"/>
      <c r="D9" s="20"/>
      <c r="E9" s="24" t="s">
        <v>132</v>
      </c>
      <c r="F9" s="36" t="s">
        <v>119</v>
      </c>
      <c r="G9" s="36"/>
      <c r="H9" s="36"/>
      <c r="I9" s="36"/>
      <c r="J9" s="35" t="s">
        <v>46</v>
      </c>
      <c r="K9" s="35"/>
      <c r="L9" s="36" t="s">
        <v>120</v>
      </c>
      <c r="M9" s="36"/>
      <c r="N9" s="36"/>
      <c r="O9" s="23">
        <v>2</v>
      </c>
      <c r="P9" s="23">
        <v>1</v>
      </c>
      <c r="Q9" s="23">
        <f>O9*P9</f>
        <v>2</v>
      </c>
      <c r="R9" s="36"/>
      <c r="S9" s="36"/>
      <c r="T9" s="36"/>
      <c r="U9" s="23"/>
      <c r="V9" s="23"/>
      <c r="W9" s="3"/>
    </row>
    <row r="10" spans="1:23" ht="60" customHeight="1" x14ac:dyDescent="0.3">
      <c r="A10" s="19" t="s">
        <v>98</v>
      </c>
      <c r="B10" s="20"/>
      <c r="C10" s="20"/>
      <c r="D10" s="20"/>
      <c r="E10" s="24" t="s">
        <v>132</v>
      </c>
      <c r="F10" s="36" t="s">
        <v>118</v>
      </c>
      <c r="G10" s="36"/>
      <c r="H10" s="36"/>
      <c r="I10" s="36"/>
      <c r="J10" s="35" t="s">
        <v>32</v>
      </c>
      <c r="K10" s="35"/>
      <c r="L10" s="36" t="s">
        <v>121</v>
      </c>
      <c r="M10" s="36"/>
      <c r="N10" s="36"/>
      <c r="O10" s="23">
        <v>4</v>
      </c>
      <c r="P10" s="23">
        <v>1</v>
      </c>
      <c r="Q10" s="23">
        <v>4</v>
      </c>
      <c r="R10" s="36"/>
      <c r="S10" s="36"/>
      <c r="T10" s="36"/>
      <c r="U10" s="23"/>
      <c r="V10" s="23"/>
      <c r="W10" s="3"/>
    </row>
    <row r="11" spans="1:23" ht="60" customHeight="1" x14ac:dyDescent="0.3">
      <c r="A11" s="19"/>
      <c r="B11" s="20"/>
      <c r="C11" s="20"/>
      <c r="D11" s="20"/>
      <c r="E11" s="12"/>
      <c r="F11" s="72"/>
      <c r="G11" s="72"/>
      <c r="H11" s="72"/>
      <c r="I11" s="72"/>
      <c r="J11" s="98"/>
      <c r="K11" s="99"/>
      <c r="L11" s="72"/>
      <c r="M11" s="72"/>
      <c r="N11" s="72"/>
      <c r="O11" s="12"/>
      <c r="P11" s="12"/>
      <c r="Q11" s="12"/>
      <c r="R11" s="72"/>
      <c r="S11" s="72"/>
      <c r="T11" s="72"/>
      <c r="U11" s="12"/>
      <c r="V11" s="12"/>
      <c r="W11" s="12"/>
    </row>
    <row r="12" spans="1:23" ht="60" customHeight="1" x14ac:dyDescent="0.3">
      <c r="A12" s="19"/>
      <c r="B12" s="20"/>
      <c r="C12" s="20"/>
      <c r="D12" s="20"/>
      <c r="E12" s="12"/>
      <c r="F12" s="72"/>
      <c r="G12" s="72"/>
      <c r="H12" s="72"/>
      <c r="I12" s="72"/>
      <c r="J12" s="98"/>
      <c r="K12" s="99"/>
      <c r="L12" s="72"/>
      <c r="M12" s="72"/>
      <c r="N12" s="72"/>
      <c r="O12" s="12"/>
      <c r="P12" s="12"/>
      <c r="Q12" s="12"/>
      <c r="R12" s="72"/>
      <c r="S12" s="72"/>
      <c r="T12" s="72"/>
      <c r="U12" s="12"/>
      <c r="V12" s="12"/>
      <c r="W12" s="12"/>
    </row>
    <row r="13" spans="1:23" ht="60" customHeight="1" x14ac:dyDescent="0.3">
      <c r="A13" s="10"/>
      <c r="B13" s="11"/>
      <c r="C13" s="11"/>
      <c r="D13" s="11"/>
      <c r="E13" s="12"/>
      <c r="F13" s="97"/>
      <c r="G13" s="97"/>
      <c r="H13" s="97"/>
      <c r="I13" s="97"/>
      <c r="J13" s="71"/>
      <c r="K13" s="71"/>
      <c r="L13" s="72"/>
      <c r="M13" s="72"/>
      <c r="N13" s="72"/>
      <c r="O13" s="12"/>
      <c r="P13" s="12"/>
      <c r="Q13" s="12"/>
      <c r="R13" s="72"/>
      <c r="S13" s="72"/>
      <c r="T13" s="72"/>
      <c r="U13" s="12"/>
      <c r="V13" s="12"/>
      <c r="W13" s="12"/>
    </row>
    <row r="14" spans="1:23" ht="60" customHeight="1" x14ac:dyDescent="0.3">
      <c r="A14" s="11"/>
      <c r="B14" s="11"/>
      <c r="C14" s="11"/>
      <c r="D14" s="11"/>
      <c r="E14" s="12"/>
      <c r="F14" s="97"/>
      <c r="G14" s="97"/>
      <c r="H14" s="97"/>
      <c r="I14" s="97"/>
      <c r="J14" s="71"/>
      <c r="K14" s="71"/>
      <c r="L14" s="72"/>
      <c r="M14" s="72"/>
      <c r="N14" s="72"/>
      <c r="O14" s="12"/>
      <c r="P14" s="12"/>
      <c r="Q14" s="12"/>
      <c r="R14" s="72"/>
      <c r="S14" s="72"/>
      <c r="T14" s="72"/>
      <c r="U14" s="12"/>
      <c r="V14" s="12"/>
      <c r="W14" s="12"/>
    </row>
    <row r="15" spans="1:23" ht="60" customHeight="1" x14ac:dyDescent="0.3">
      <c r="A15" s="11"/>
      <c r="B15" s="11"/>
      <c r="C15" s="11"/>
      <c r="D15" s="11"/>
      <c r="E15" s="12"/>
      <c r="F15" s="97"/>
      <c r="G15" s="97"/>
      <c r="H15" s="97"/>
      <c r="I15" s="97"/>
      <c r="J15" s="71"/>
      <c r="K15" s="71"/>
      <c r="L15" s="72"/>
      <c r="M15" s="72"/>
      <c r="N15" s="72"/>
      <c r="O15" s="12"/>
      <c r="P15" s="12"/>
      <c r="Q15" s="12"/>
      <c r="R15" s="72"/>
      <c r="S15" s="72"/>
      <c r="T15" s="72"/>
      <c r="U15" s="12"/>
      <c r="V15" s="12"/>
      <c r="W15" s="12"/>
    </row>
    <row r="16" spans="1:23" ht="60" customHeight="1" x14ac:dyDescent="0.3">
      <c r="A16" s="11"/>
      <c r="B16" s="11"/>
      <c r="C16" s="11"/>
      <c r="D16" s="11"/>
      <c r="E16" s="12"/>
      <c r="F16" s="72"/>
      <c r="G16" s="72"/>
      <c r="H16" s="72"/>
      <c r="I16" s="72"/>
      <c r="J16" s="71"/>
      <c r="K16" s="71"/>
      <c r="L16" s="72"/>
      <c r="M16" s="72"/>
      <c r="N16" s="72"/>
      <c r="O16" s="12"/>
      <c r="P16" s="12"/>
      <c r="Q16" s="12"/>
      <c r="R16" s="72"/>
      <c r="S16" s="72"/>
      <c r="T16" s="72"/>
      <c r="U16" s="12"/>
      <c r="V16" s="12"/>
      <c r="W16" s="12"/>
    </row>
    <row r="17" spans="1:23" ht="60" customHeight="1" x14ac:dyDescent="0.3">
      <c r="A17" s="11"/>
      <c r="B17" s="11"/>
      <c r="C17" s="11"/>
      <c r="D17" s="11"/>
      <c r="E17" s="12"/>
      <c r="F17" s="72"/>
      <c r="G17" s="72"/>
      <c r="H17" s="72"/>
      <c r="I17" s="72"/>
      <c r="J17" s="71"/>
      <c r="K17" s="71"/>
      <c r="L17" s="72"/>
      <c r="M17" s="72"/>
      <c r="N17" s="72"/>
      <c r="O17" s="12"/>
      <c r="P17" s="12"/>
      <c r="Q17" s="12"/>
      <c r="R17" s="72"/>
      <c r="S17" s="72"/>
      <c r="T17" s="72"/>
      <c r="U17" s="12"/>
      <c r="V17" s="12"/>
      <c r="W17" s="12"/>
    </row>
    <row r="18" spans="1:23" ht="60" customHeight="1" x14ac:dyDescent="0.3">
      <c r="A18" s="11"/>
      <c r="B18" s="11"/>
      <c r="C18" s="11"/>
      <c r="D18" s="11"/>
      <c r="E18" s="12"/>
      <c r="F18" s="97"/>
      <c r="G18" s="97"/>
      <c r="H18" s="97"/>
      <c r="I18" s="97"/>
      <c r="J18" s="71"/>
      <c r="K18" s="71"/>
      <c r="L18" s="72"/>
      <c r="M18" s="72"/>
      <c r="N18" s="72"/>
      <c r="O18" s="12"/>
      <c r="P18" s="12"/>
      <c r="Q18" s="12"/>
      <c r="R18" s="72"/>
      <c r="S18" s="72"/>
      <c r="T18" s="72"/>
      <c r="U18" s="12"/>
      <c r="V18" s="12"/>
      <c r="W18" s="12"/>
    </row>
    <row r="19" spans="1:23" ht="60" customHeight="1" x14ac:dyDescent="0.3">
      <c r="A19" s="11"/>
      <c r="B19" s="11"/>
      <c r="C19" s="11"/>
      <c r="D19" s="11"/>
      <c r="E19" s="12"/>
      <c r="F19" s="97"/>
      <c r="G19" s="97"/>
      <c r="H19" s="97"/>
      <c r="I19" s="97"/>
      <c r="J19" s="71"/>
      <c r="K19" s="71"/>
      <c r="L19" s="72"/>
      <c r="M19" s="72"/>
      <c r="N19" s="72"/>
      <c r="O19" s="12"/>
      <c r="P19" s="12"/>
      <c r="Q19" s="12"/>
      <c r="R19" s="72"/>
      <c r="S19" s="72"/>
      <c r="T19" s="72"/>
      <c r="U19" s="12"/>
      <c r="V19" s="12"/>
      <c r="W19" s="12"/>
    </row>
    <row r="20" spans="1:23" ht="60" customHeight="1" x14ac:dyDescent="0.3">
      <c r="A20" s="11"/>
      <c r="B20" s="11"/>
      <c r="C20" s="11"/>
      <c r="D20" s="11"/>
      <c r="E20" s="12"/>
      <c r="F20" s="72"/>
      <c r="G20" s="72"/>
      <c r="H20" s="72"/>
      <c r="I20" s="72"/>
      <c r="J20" s="71"/>
      <c r="K20" s="71"/>
      <c r="L20" s="72"/>
      <c r="M20" s="72"/>
      <c r="N20" s="72"/>
      <c r="O20" s="12"/>
      <c r="P20" s="12"/>
      <c r="Q20" s="12"/>
      <c r="R20" s="72"/>
      <c r="S20" s="72"/>
      <c r="T20" s="72"/>
      <c r="U20" s="12"/>
      <c r="V20" s="12"/>
      <c r="W20" s="12"/>
    </row>
    <row r="21" spans="1:23" ht="60" customHeight="1" x14ac:dyDescent="0.3">
      <c r="A21" s="11"/>
      <c r="B21" s="11"/>
      <c r="C21" s="11"/>
      <c r="D21" s="11"/>
      <c r="E21" s="12"/>
      <c r="F21" s="97"/>
      <c r="G21" s="97"/>
      <c r="H21" s="97"/>
      <c r="I21" s="97"/>
      <c r="J21" s="71"/>
      <c r="K21" s="71"/>
      <c r="L21" s="72"/>
      <c r="M21" s="72"/>
      <c r="N21" s="72"/>
      <c r="O21" s="12"/>
      <c r="P21" s="12"/>
      <c r="Q21" s="12"/>
      <c r="R21" s="72"/>
      <c r="S21" s="72"/>
      <c r="T21" s="72"/>
      <c r="U21" s="12"/>
      <c r="V21" s="12"/>
      <c r="W21" s="12"/>
    </row>
    <row r="22" spans="1:23" ht="60" customHeight="1" x14ac:dyDescent="0.3">
      <c r="A22" s="11"/>
      <c r="B22" s="11"/>
      <c r="C22" s="11"/>
      <c r="D22" s="11"/>
      <c r="E22" s="12"/>
      <c r="F22" s="97"/>
      <c r="G22" s="97"/>
      <c r="H22" s="97"/>
      <c r="I22" s="97"/>
      <c r="J22" s="71"/>
      <c r="K22" s="71"/>
      <c r="L22" s="72"/>
      <c r="M22" s="72"/>
      <c r="N22" s="72"/>
      <c r="O22" s="12"/>
      <c r="P22" s="12"/>
      <c r="Q22" s="12"/>
      <c r="R22" s="72"/>
      <c r="S22" s="72"/>
      <c r="T22" s="72"/>
      <c r="U22" s="12"/>
      <c r="V22" s="12"/>
      <c r="W22" s="12"/>
    </row>
    <row r="23" spans="1:23" ht="60" customHeight="1" x14ac:dyDescent="0.3">
      <c r="A23" s="11"/>
      <c r="B23" s="11"/>
      <c r="C23" s="11"/>
      <c r="D23" s="11"/>
      <c r="E23" s="12"/>
      <c r="F23" s="97"/>
      <c r="G23" s="97"/>
      <c r="H23" s="97"/>
      <c r="I23" s="97"/>
      <c r="J23" s="71"/>
      <c r="K23" s="71"/>
      <c r="L23" s="72"/>
      <c r="M23" s="72"/>
      <c r="N23" s="72"/>
      <c r="O23" s="12"/>
      <c r="P23" s="12"/>
      <c r="Q23" s="12"/>
      <c r="R23" s="72"/>
      <c r="S23" s="72"/>
      <c r="T23" s="72"/>
      <c r="U23" s="12"/>
      <c r="V23" s="12"/>
      <c r="W23" s="12"/>
    </row>
    <row r="24" spans="1:23" ht="60" customHeight="1" x14ac:dyDescent="0.3">
      <c r="A24" s="11"/>
      <c r="B24" s="11"/>
      <c r="C24" s="11"/>
      <c r="D24" s="11"/>
      <c r="E24" s="12"/>
      <c r="F24" s="97"/>
      <c r="G24" s="97"/>
      <c r="H24" s="97"/>
      <c r="I24" s="97"/>
      <c r="J24" s="71"/>
      <c r="K24" s="71"/>
      <c r="L24" s="72"/>
      <c r="M24" s="72"/>
      <c r="N24" s="72"/>
      <c r="O24" s="12"/>
      <c r="P24" s="12"/>
      <c r="Q24" s="12"/>
      <c r="R24" s="72"/>
      <c r="S24" s="72"/>
      <c r="T24" s="72"/>
      <c r="U24" s="12"/>
      <c r="V24" s="12"/>
      <c r="W24" s="12"/>
    </row>
    <row r="25" spans="1:23" ht="60" customHeight="1" x14ac:dyDescent="0.3">
      <c r="A25" s="11"/>
      <c r="B25" s="11"/>
      <c r="C25" s="11"/>
      <c r="D25" s="11"/>
      <c r="E25" s="12"/>
      <c r="F25" s="72"/>
      <c r="G25" s="72"/>
      <c r="H25" s="72"/>
      <c r="I25" s="72"/>
      <c r="J25" s="71"/>
      <c r="K25" s="71"/>
      <c r="L25" s="72"/>
      <c r="M25" s="72"/>
      <c r="N25" s="72"/>
      <c r="O25" s="12"/>
      <c r="P25" s="12"/>
      <c r="Q25" s="12"/>
      <c r="R25" s="72"/>
      <c r="S25" s="72"/>
      <c r="T25" s="72"/>
      <c r="U25" s="12"/>
      <c r="V25" s="12"/>
      <c r="W25" s="12"/>
    </row>
    <row r="26" spans="1:23" ht="60" customHeight="1" x14ac:dyDescent="0.3">
      <c r="A26" s="11"/>
      <c r="B26" s="11"/>
      <c r="C26" s="11"/>
      <c r="D26" s="11"/>
      <c r="E26" s="12"/>
      <c r="F26" s="97"/>
      <c r="G26" s="97"/>
      <c r="H26" s="97"/>
      <c r="I26" s="97"/>
      <c r="J26" s="71"/>
      <c r="K26" s="71"/>
      <c r="L26" s="72"/>
      <c r="M26" s="72"/>
      <c r="N26" s="72"/>
      <c r="O26" s="12"/>
      <c r="P26" s="12"/>
      <c r="Q26" s="12"/>
      <c r="R26" s="72"/>
      <c r="S26" s="72"/>
      <c r="T26" s="72"/>
      <c r="U26" s="12"/>
      <c r="V26" s="12"/>
      <c r="W26" s="12"/>
    </row>
    <row r="27" spans="1:23" ht="60" customHeight="1" x14ac:dyDescent="0.3">
      <c r="A27" s="11"/>
      <c r="B27" s="11"/>
      <c r="C27" s="11"/>
      <c r="D27" s="11"/>
      <c r="E27" s="12"/>
      <c r="F27" s="97"/>
      <c r="G27" s="97"/>
      <c r="H27" s="97"/>
      <c r="I27" s="97"/>
      <c r="J27" s="71"/>
      <c r="K27" s="71"/>
      <c r="L27" s="72"/>
      <c r="M27" s="72"/>
      <c r="N27" s="72"/>
      <c r="O27" s="12"/>
      <c r="P27" s="12"/>
      <c r="Q27" s="12"/>
      <c r="R27" s="72"/>
      <c r="S27" s="72"/>
      <c r="T27" s="72"/>
      <c r="U27" s="12"/>
      <c r="V27" s="12"/>
      <c r="W27" s="12"/>
    </row>
    <row r="28" spans="1:23" ht="60" customHeight="1" x14ac:dyDescent="0.3">
      <c r="A28" s="11"/>
      <c r="B28" s="11"/>
      <c r="C28" s="11"/>
      <c r="D28" s="11"/>
      <c r="E28" s="12"/>
      <c r="F28" s="72"/>
      <c r="G28" s="72"/>
      <c r="H28" s="72"/>
      <c r="I28" s="72"/>
      <c r="J28" s="71"/>
      <c r="K28" s="71"/>
      <c r="L28" s="72"/>
      <c r="M28" s="72"/>
      <c r="N28" s="72"/>
      <c r="O28" s="12"/>
      <c r="P28" s="12"/>
      <c r="Q28" s="12"/>
      <c r="R28" s="72"/>
      <c r="S28" s="72"/>
      <c r="T28" s="72"/>
      <c r="U28" s="12"/>
      <c r="V28" s="12"/>
      <c r="W28" s="12"/>
    </row>
    <row r="29" spans="1:23" ht="60" customHeight="1" x14ac:dyDescent="0.3">
      <c r="A29" s="11"/>
      <c r="B29" s="11"/>
      <c r="C29" s="11"/>
      <c r="D29" s="11"/>
      <c r="E29" s="12"/>
      <c r="F29" s="97"/>
      <c r="G29" s="97"/>
      <c r="H29" s="97"/>
      <c r="I29" s="97"/>
      <c r="J29" s="71"/>
      <c r="K29" s="71"/>
      <c r="L29" s="72"/>
      <c r="M29" s="72"/>
      <c r="N29" s="72"/>
      <c r="O29" s="12"/>
      <c r="P29" s="12"/>
      <c r="Q29" s="12"/>
      <c r="R29" s="72"/>
      <c r="S29" s="72"/>
      <c r="T29" s="72"/>
      <c r="U29" s="12"/>
      <c r="V29" s="12"/>
      <c r="W29" s="12"/>
    </row>
    <row r="30" spans="1:23" ht="60" customHeight="1" x14ac:dyDescent="0.3">
      <c r="A30" s="11"/>
      <c r="B30" s="11"/>
      <c r="C30" s="11"/>
      <c r="D30" s="11"/>
      <c r="E30" s="12"/>
      <c r="F30" s="97"/>
      <c r="G30" s="97"/>
      <c r="H30" s="97"/>
      <c r="I30" s="97"/>
      <c r="J30" s="71"/>
      <c r="K30" s="71"/>
      <c r="L30" s="72"/>
      <c r="M30" s="72"/>
      <c r="N30" s="72"/>
      <c r="O30" s="12"/>
      <c r="P30" s="12"/>
      <c r="Q30" s="12"/>
      <c r="R30" s="72"/>
      <c r="S30" s="72"/>
      <c r="T30" s="72"/>
      <c r="U30" s="12"/>
      <c r="V30" s="12"/>
      <c r="W30" s="12"/>
    </row>
    <row r="31" spans="1:23" ht="60" customHeight="1" x14ac:dyDescent="0.3">
      <c r="A31" s="11"/>
      <c r="B31" s="11"/>
      <c r="C31" s="11"/>
      <c r="D31" s="11"/>
      <c r="E31" s="12"/>
      <c r="F31" s="72"/>
      <c r="G31" s="72"/>
      <c r="H31" s="72"/>
      <c r="I31" s="72"/>
      <c r="J31" s="71"/>
      <c r="K31" s="71"/>
      <c r="L31" s="72"/>
      <c r="M31" s="72"/>
      <c r="N31" s="72"/>
      <c r="O31" s="12"/>
      <c r="P31" s="12"/>
      <c r="Q31" s="12"/>
      <c r="R31" s="72"/>
      <c r="S31" s="72"/>
      <c r="T31" s="72"/>
      <c r="U31" s="12"/>
      <c r="V31" s="12"/>
      <c r="W31" s="12"/>
    </row>
    <row r="32" spans="1:23" ht="60" customHeight="1" x14ac:dyDescent="0.3">
      <c r="A32" s="11"/>
      <c r="B32" s="11"/>
      <c r="C32" s="11"/>
      <c r="D32" s="11"/>
      <c r="E32" s="12"/>
      <c r="F32" s="97"/>
      <c r="G32" s="97"/>
      <c r="H32" s="97"/>
      <c r="I32" s="97"/>
      <c r="J32" s="71"/>
      <c r="K32" s="71"/>
      <c r="L32" s="72"/>
      <c r="M32" s="72"/>
      <c r="N32" s="72"/>
      <c r="O32" s="12"/>
      <c r="P32" s="12"/>
      <c r="Q32" s="12"/>
      <c r="R32" s="72"/>
      <c r="S32" s="72"/>
      <c r="T32" s="72"/>
      <c r="U32" s="12"/>
      <c r="V32" s="12"/>
      <c r="W32" s="12"/>
    </row>
    <row r="33" spans="1:23" ht="60" customHeight="1" x14ac:dyDescent="0.3">
      <c r="A33" s="11"/>
      <c r="B33" s="11"/>
      <c r="C33" s="11"/>
      <c r="D33" s="11"/>
      <c r="E33" s="12"/>
      <c r="F33" s="97"/>
      <c r="G33" s="97"/>
      <c r="H33" s="97"/>
      <c r="I33" s="97"/>
      <c r="J33" s="71"/>
      <c r="K33" s="71"/>
      <c r="L33" s="72"/>
      <c r="M33" s="72"/>
      <c r="N33" s="72"/>
      <c r="O33" s="12"/>
      <c r="P33" s="12"/>
      <c r="Q33" s="12"/>
      <c r="R33" s="72"/>
      <c r="S33" s="72"/>
      <c r="T33" s="72"/>
      <c r="U33" s="12"/>
      <c r="V33" s="12"/>
      <c r="W33" s="12"/>
    </row>
    <row r="34" spans="1:23" ht="60" customHeight="1" x14ac:dyDescent="0.3">
      <c r="A34" s="11"/>
      <c r="B34" s="11"/>
      <c r="C34" s="11"/>
      <c r="D34" s="11"/>
      <c r="E34" s="12"/>
      <c r="F34" s="97"/>
      <c r="G34" s="97"/>
      <c r="H34" s="97"/>
      <c r="I34" s="97"/>
      <c r="J34" s="71"/>
      <c r="K34" s="71"/>
      <c r="L34" s="72"/>
      <c r="M34" s="72"/>
      <c r="N34" s="72"/>
      <c r="O34" s="12"/>
      <c r="P34" s="12"/>
      <c r="Q34" s="12"/>
      <c r="R34" s="72"/>
      <c r="S34" s="72"/>
      <c r="T34" s="72"/>
      <c r="U34" s="12"/>
      <c r="V34" s="12"/>
      <c r="W34" s="12"/>
    </row>
    <row r="35" spans="1:23" ht="60" customHeight="1" x14ac:dyDescent="0.3">
      <c r="A35" s="11"/>
      <c r="B35" s="11"/>
      <c r="C35" s="11"/>
      <c r="D35" s="11"/>
      <c r="E35" s="12"/>
      <c r="F35" s="97"/>
      <c r="G35" s="97"/>
      <c r="H35" s="97"/>
      <c r="I35" s="97"/>
      <c r="J35" s="71"/>
      <c r="K35" s="71"/>
      <c r="L35" s="72"/>
      <c r="M35" s="72"/>
      <c r="N35" s="72"/>
      <c r="O35" s="12"/>
      <c r="P35" s="12"/>
      <c r="Q35" s="12"/>
      <c r="R35" s="72"/>
      <c r="S35" s="72"/>
      <c r="T35" s="72"/>
      <c r="U35" s="12"/>
      <c r="V35" s="12"/>
      <c r="W35" s="12"/>
    </row>
    <row r="36" spans="1:23" ht="60" customHeight="1" x14ac:dyDescent="0.3">
      <c r="A36" s="11"/>
      <c r="B36" s="11"/>
      <c r="C36" s="11"/>
      <c r="D36" s="11"/>
      <c r="E36" s="12"/>
      <c r="F36" s="72"/>
      <c r="G36" s="72"/>
      <c r="H36" s="72"/>
      <c r="I36" s="72"/>
      <c r="J36" s="71"/>
      <c r="K36" s="71"/>
      <c r="L36" s="72"/>
      <c r="M36" s="72"/>
      <c r="N36" s="72"/>
      <c r="O36" s="12"/>
      <c r="P36" s="12"/>
      <c r="Q36" s="12"/>
      <c r="R36" s="72"/>
      <c r="S36" s="72"/>
      <c r="T36" s="72"/>
      <c r="U36" s="12"/>
      <c r="V36" s="12"/>
      <c r="W36" s="12"/>
    </row>
    <row r="37" spans="1:23" ht="60" customHeight="1" x14ac:dyDescent="0.3">
      <c r="A37" s="11"/>
      <c r="B37" s="11"/>
      <c r="C37" s="11"/>
      <c r="D37" s="11"/>
      <c r="E37" s="12"/>
      <c r="F37" s="97"/>
      <c r="G37" s="97"/>
      <c r="H37" s="97"/>
      <c r="I37" s="97"/>
      <c r="J37" s="71"/>
      <c r="K37" s="71"/>
      <c r="L37" s="72"/>
      <c r="M37" s="72"/>
      <c r="N37" s="72"/>
      <c r="O37" s="12"/>
      <c r="P37" s="12"/>
      <c r="Q37" s="12"/>
      <c r="R37" s="72"/>
      <c r="S37" s="72"/>
      <c r="T37" s="72"/>
      <c r="U37" s="12"/>
      <c r="V37" s="12"/>
      <c r="W37" s="12"/>
    </row>
    <row r="38" spans="1:23" ht="60" customHeight="1" x14ac:dyDescent="0.3">
      <c r="A38" s="11"/>
      <c r="B38" s="11"/>
      <c r="C38" s="11"/>
      <c r="D38" s="11"/>
      <c r="E38" s="12"/>
      <c r="F38" s="97"/>
      <c r="G38" s="97"/>
      <c r="H38" s="97"/>
      <c r="I38" s="97"/>
      <c r="J38" s="71"/>
      <c r="K38" s="71"/>
      <c r="L38" s="72"/>
      <c r="M38" s="72"/>
      <c r="N38" s="72"/>
      <c r="O38" s="12"/>
      <c r="P38" s="12"/>
      <c r="Q38" s="12"/>
      <c r="R38" s="72"/>
      <c r="S38" s="72"/>
      <c r="T38" s="72"/>
      <c r="U38" s="12"/>
      <c r="V38" s="12"/>
      <c r="W38" s="12"/>
    </row>
    <row r="39" spans="1:23" ht="60" customHeight="1" x14ac:dyDescent="0.3">
      <c r="A39" s="11"/>
      <c r="B39" s="11"/>
      <c r="C39" s="11"/>
      <c r="D39" s="11"/>
      <c r="E39" s="12"/>
      <c r="F39" s="72"/>
      <c r="G39" s="72"/>
      <c r="H39" s="72"/>
      <c r="I39" s="72"/>
      <c r="J39" s="71"/>
      <c r="K39" s="71"/>
      <c r="L39" s="72"/>
      <c r="M39" s="72"/>
      <c r="N39" s="72"/>
      <c r="O39" s="12"/>
      <c r="P39" s="12"/>
      <c r="Q39" s="12"/>
      <c r="R39" s="72"/>
      <c r="S39" s="72"/>
      <c r="T39" s="72"/>
      <c r="U39" s="12"/>
      <c r="V39" s="12"/>
      <c r="W39" s="12"/>
    </row>
    <row r="40" spans="1:23" ht="60" customHeight="1" x14ac:dyDescent="0.3">
      <c r="A40" s="11"/>
      <c r="B40" s="11"/>
      <c r="C40" s="11"/>
      <c r="D40" s="11"/>
      <c r="E40" s="12"/>
      <c r="F40" s="97"/>
      <c r="G40" s="97"/>
      <c r="H40" s="97"/>
      <c r="I40" s="97"/>
      <c r="J40" s="71"/>
      <c r="K40" s="71"/>
      <c r="L40" s="72"/>
      <c r="M40" s="72"/>
      <c r="N40" s="72"/>
      <c r="O40" s="12"/>
      <c r="P40" s="12"/>
      <c r="Q40" s="12"/>
      <c r="R40" s="72"/>
      <c r="S40" s="72"/>
      <c r="T40" s="72"/>
      <c r="U40" s="12"/>
      <c r="V40" s="12"/>
      <c r="W40" s="12"/>
    </row>
    <row r="41" spans="1:23" ht="60" customHeight="1" x14ac:dyDescent="0.3">
      <c r="A41" s="11"/>
      <c r="B41" s="11"/>
      <c r="C41" s="11"/>
      <c r="D41" s="11"/>
      <c r="E41" s="12"/>
      <c r="F41" s="97"/>
      <c r="G41" s="97"/>
      <c r="H41" s="97"/>
      <c r="I41" s="97"/>
      <c r="J41" s="71"/>
      <c r="K41" s="71"/>
      <c r="L41" s="72"/>
      <c r="M41" s="72"/>
      <c r="N41" s="72"/>
      <c r="O41" s="12"/>
      <c r="P41" s="12"/>
      <c r="Q41" s="12"/>
      <c r="R41" s="72"/>
      <c r="S41" s="72"/>
      <c r="T41" s="72"/>
      <c r="U41" s="12"/>
      <c r="V41" s="12"/>
      <c r="W41" s="12"/>
    </row>
    <row r="42" spans="1:23" ht="60" customHeight="1" x14ac:dyDescent="0.3">
      <c r="A42" s="11"/>
      <c r="B42" s="11"/>
      <c r="C42" s="11"/>
      <c r="D42" s="11"/>
      <c r="E42" s="12"/>
      <c r="F42" s="97"/>
      <c r="G42" s="97"/>
      <c r="H42" s="97"/>
      <c r="I42" s="97"/>
      <c r="J42" s="71"/>
      <c r="K42" s="71"/>
      <c r="L42" s="72"/>
      <c r="M42" s="72"/>
      <c r="N42" s="72"/>
      <c r="O42" s="12"/>
      <c r="P42" s="12"/>
      <c r="Q42" s="12"/>
      <c r="R42" s="72"/>
      <c r="S42" s="72"/>
      <c r="T42" s="72"/>
      <c r="U42" s="12"/>
      <c r="V42" s="12"/>
      <c r="W42" s="12"/>
    </row>
    <row r="125" spans="9:9" x14ac:dyDescent="0.3">
      <c r="I125" t="s">
        <v>10</v>
      </c>
    </row>
  </sheetData>
  <mergeCells count="158">
    <mergeCell ref="F41:I41"/>
    <mergeCell ref="J41:K41"/>
    <mergeCell ref="L41:N41"/>
    <mergeCell ref="R41:T41"/>
    <mergeCell ref="F42:I42"/>
    <mergeCell ref="J42:K42"/>
    <mergeCell ref="L42:N42"/>
    <mergeCell ref="R42:T42"/>
    <mergeCell ref="F39:I39"/>
    <mergeCell ref="J39:K39"/>
    <mergeCell ref="L39:N39"/>
    <mergeCell ref="R39:T39"/>
    <mergeCell ref="F40:I40"/>
    <mergeCell ref="J40:K40"/>
    <mergeCell ref="L40:N40"/>
    <mergeCell ref="R40:T40"/>
    <mergeCell ref="J38:K38"/>
    <mergeCell ref="L38:N38"/>
    <mergeCell ref="R38:T38"/>
    <mergeCell ref="F35:I35"/>
    <mergeCell ref="J35:K35"/>
    <mergeCell ref="L35:N35"/>
    <mergeCell ref="R35:T35"/>
    <mergeCell ref="F36:I36"/>
    <mergeCell ref="J36:K36"/>
    <mergeCell ref="L36:N36"/>
    <mergeCell ref="R36:T36"/>
    <mergeCell ref="F37:I37"/>
    <mergeCell ref="J37:K37"/>
    <mergeCell ref="L37:N37"/>
    <mergeCell ref="R37:T37"/>
    <mergeCell ref="F38:I38"/>
    <mergeCell ref="F33:I33"/>
    <mergeCell ref="J33:K33"/>
    <mergeCell ref="L33:N33"/>
    <mergeCell ref="R33:T33"/>
    <mergeCell ref="F34:I34"/>
    <mergeCell ref="J34:K34"/>
    <mergeCell ref="L34:N34"/>
    <mergeCell ref="R34:T34"/>
    <mergeCell ref="F31:I31"/>
    <mergeCell ref="J31:K31"/>
    <mergeCell ref="L31:N31"/>
    <mergeCell ref="R31:T31"/>
    <mergeCell ref="F32:I32"/>
    <mergeCell ref="J32:K32"/>
    <mergeCell ref="L32:N32"/>
    <mergeCell ref="R32:T32"/>
    <mergeCell ref="F29:I29"/>
    <mergeCell ref="J29:K29"/>
    <mergeCell ref="L29:N29"/>
    <mergeCell ref="R29:T29"/>
    <mergeCell ref="F30:I30"/>
    <mergeCell ref="J30:K30"/>
    <mergeCell ref="L30:N30"/>
    <mergeCell ref="R30:T30"/>
    <mergeCell ref="F27:I27"/>
    <mergeCell ref="J27:K27"/>
    <mergeCell ref="L27:N27"/>
    <mergeCell ref="R27:T27"/>
    <mergeCell ref="F28:I28"/>
    <mergeCell ref="J28:K28"/>
    <mergeCell ref="L28:N28"/>
    <mergeCell ref="R28:T28"/>
    <mergeCell ref="F25:I25"/>
    <mergeCell ref="J25:K25"/>
    <mergeCell ref="L25:N25"/>
    <mergeCell ref="R25:T25"/>
    <mergeCell ref="F26:I26"/>
    <mergeCell ref="J26:K26"/>
    <mergeCell ref="L26:N26"/>
    <mergeCell ref="R26:T26"/>
    <mergeCell ref="F23:I23"/>
    <mergeCell ref="J23:K23"/>
    <mergeCell ref="L23:N23"/>
    <mergeCell ref="R23:T23"/>
    <mergeCell ref="F24:I24"/>
    <mergeCell ref="J24:K24"/>
    <mergeCell ref="L24:N24"/>
    <mergeCell ref="R24:T24"/>
    <mergeCell ref="F21:I21"/>
    <mergeCell ref="J21:K21"/>
    <mergeCell ref="L21:N21"/>
    <mergeCell ref="R21:T21"/>
    <mergeCell ref="F22:I22"/>
    <mergeCell ref="J22:K22"/>
    <mergeCell ref="L22:N22"/>
    <mergeCell ref="R22:T22"/>
    <mergeCell ref="F19:I19"/>
    <mergeCell ref="J19:K19"/>
    <mergeCell ref="L19:N19"/>
    <mergeCell ref="R19:T19"/>
    <mergeCell ref="F20:I20"/>
    <mergeCell ref="J20:K20"/>
    <mergeCell ref="L20:N20"/>
    <mergeCell ref="R20:T20"/>
    <mergeCell ref="F17:I17"/>
    <mergeCell ref="J17:K17"/>
    <mergeCell ref="L17:N17"/>
    <mergeCell ref="R17:T17"/>
    <mergeCell ref="F18:I18"/>
    <mergeCell ref="J18:K18"/>
    <mergeCell ref="L18:N18"/>
    <mergeCell ref="R18:T18"/>
    <mergeCell ref="F15:I15"/>
    <mergeCell ref="J15:K15"/>
    <mergeCell ref="L15:N15"/>
    <mergeCell ref="R15:T15"/>
    <mergeCell ref="F16:I16"/>
    <mergeCell ref="J16:K16"/>
    <mergeCell ref="L16:N16"/>
    <mergeCell ref="R16:T16"/>
    <mergeCell ref="F13:I13"/>
    <mergeCell ref="J13:K13"/>
    <mergeCell ref="L13:N13"/>
    <mergeCell ref="R13:T13"/>
    <mergeCell ref="F14:I14"/>
    <mergeCell ref="J14:K14"/>
    <mergeCell ref="L14:N14"/>
    <mergeCell ref="R14:T14"/>
    <mergeCell ref="F11:I11"/>
    <mergeCell ref="J11:K11"/>
    <mergeCell ref="L11:N11"/>
    <mergeCell ref="R11:T11"/>
    <mergeCell ref="F12:I12"/>
    <mergeCell ref="J12:K12"/>
    <mergeCell ref="L12:N12"/>
    <mergeCell ref="R12:T12"/>
    <mergeCell ref="A1:T1"/>
    <mergeCell ref="B2:E2"/>
    <mergeCell ref="F2:Q5"/>
    <mergeCell ref="R2:S5"/>
    <mergeCell ref="R9:T9"/>
    <mergeCell ref="F10:I10"/>
    <mergeCell ref="J10:K10"/>
    <mergeCell ref="L10:N10"/>
    <mergeCell ref="R10:T10"/>
    <mergeCell ref="O6:Q6"/>
    <mergeCell ref="R6:T8"/>
    <mergeCell ref="B7:B8"/>
    <mergeCell ref="C7:C8"/>
    <mergeCell ref="D7:D8"/>
    <mergeCell ref="F9:I9"/>
    <mergeCell ref="J9:K9"/>
    <mergeCell ref="L9:N9"/>
    <mergeCell ref="U2:W2"/>
    <mergeCell ref="B3:E3"/>
    <mergeCell ref="T3:T5"/>
    <mergeCell ref="U3:W5"/>
    <mergeCell ref="B4:E4"/>
    <mergeCell ref="B5:E5"/>
    <mergeCell ref="A6:A8"/>
    <mergeCell ref="B6:D6"/>
    <mergeCell ref="E6:E8"/>
    <mergeCell ref="F6:I8"/>
    <mergeCell ref="J6:K8"/>
    <mergeCell ref="L6:N8"/>
    <mergeCell ref="U6:W6"/>
  </mergeCells>
  <phoneticPr fontId="4" type="noConversion"/>
  <conditionalFormatting sqref="O9:O10">
    <cfRule type="cellIs" dxfId="8" priority="4" operator="between">
      <formula>15</formula>
      <formula>20</formula>
    </cfRule>
    <cfRule type="cellIs" dxfId="7" priority="5" operator="between">
      <formula>9</formula>
      <formula>12</formula>
    </cfRule>
    <cfRule type="cellIs" dxfId="6" priority="6" operator="equal">
      <formula>8</formula>
    </cfRule>
  </conditionalFormatting>
  <conditionalFormatting sqref="Q9:Q42">
    <cfRule type="cellIs" dxfId="5" priority="1" operator="between">
      <formula>15</formula>
      <formula>20</formula>
    </cfRule>
    <cfRule type="cellIs" dxfId="4" priority="2" operator="between">
      <formula>9</formula>
      <formula>12</formula>
    </cfRule>
    <cfRule type="cellIs" dxfId="3" priority="3" operator="equal">
      <formula>8</formula>
    </cfRule>
  </conditionalFormatting>
  <conditionalFormatting sqref="W9:W42">
    <cfRule type="cellIs" dxfId="2" priority="13" operator="between">
      <formula>15</formula>
      <formula>20</formula>
    </cfRule>
    <cfRule type="cellIs" dxfId="1" priority="14" operator="between">
      <formula>9</formula>
      <formula>12</formula>
    </cfRule>
    <cfRule type="cellIs" dxfId="0" priority="15" operator="equal">
      <formula>8</formula>
    </cfRule>
  </conditionalFormatting>
  <pageMargins left="0.23622047244094491" right="0.23622047244094491" top="0.74803149606299213" bottom="0.74803149606299213" header="0.31496062992125984" footer="0.31496062992125984"/>
  <pageSetup paperSize="9" scale="50" orientation="landscape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700-000000000000}">
          <x14:formula1>
            <xm:f>'D:\Desktop\문서\5.안전관리계획서,위험성평가\2024\폐기물처리장 통풍창 폐쇄작업\[위험성평가.xlsx]데이터필드'!#REF!</xm:f>
          </x14:formula1>
          <xm:sqref>D11:D12</xm:sqref>
        </x14:dataValidation>
        <x14:dataValidation type="list" allowBlank="1" showInputMessage="1" showErrorMessage="1" xr:uid="{00000000-0002-0000-0700-000001000000}">
          <x14:formula1>
            <xm:f>'D:\Desktop\위험성평가\붙임1. 유해위험요인 분류표 및 위험성평가표(23년 네오트랜스)\협력사\윌앤비전\[유해위험요인 분류표 및 위험성평가표_윌앤비전(기지)_2024.xlsx]데이터필드'!#REF!</xm:f>
          </x14:formula1>
          <xm:sqref>D13:D42 U11:V42 O11:P42 J11:K42 U9:V9</xm:sqref>
        </x14:dataValidation>
        <x14:dataValidation type="list" allowBlank="1" showInputMessage="1" showErrorMessage="1" xr:uid="{00000000-0002-0000-0700-000002000000}">
          <x14:formula1>
            <xm:f>'D:\Desktop\문서\14.요청서류\[유해위험요인 분류표 및 위험성평가표_차량기지 윌앤비전0324_최종_수정본.xlsx]데이터필드'!#REF!</xm:f>
          </x14:formula1>
          <xm:sqref>D9:D10 P9:P10 J9:K9</xm:sqref>
        </x14:dataValidation>
        <x14:dataValidation type="list" allowBlank="1" showInputMessage="1" showErrorMessage="1" xr:uid="{00000000-0002-0000-0700-000003000000}">
          <x14:formula1>
            <xm:f>'D:\Desktop\문서\5.안전관리계획서,위험성평가\2024\폐기물처리장 통풍창 폐쇄작업\[위험성평가.xlsx]데이터필드'!#REF!</xm:f>
          </x14:formula1>
          <xm:sqref>U10:V10</xm:sqref>
        </x14:dataValidation>
        <x14:dataValidation type="list" allowBlank="1" showInputMessage="1" showErrorMessage="1" xr:uid="{00000000-0002-0000-0700-000004000000}">
          <x14:formula1>
            <xm:f>'D:\0\8.위험성평가\25년도\위험성평가(부서별)_24년도 정기,수시 최종 반영\네오\시설\[위험성평가표_시설(시설관리)_2024.xlsx]데이터필드'!#REF!</xm:f>
          </x14:formula1>
          <xm:sqref>J10:K10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5" tint="-0.249977111117893"/>
  </sheetPr>
  <dimension ref="B3:O25"/>
  <sheetViews>
    <sheetView workbookViewId="0">
      <selection activeCell="K23" sqref="K23"/>
    </sheetView>
  </sheetViews>
  <sheetFormatPr defaultRowHeight="16.5" x14ac:dyDescent="0.3"/>
  <sheetData>
    <row r="3" spans="2:15" x14ac:dyDescent="0.3">
      <c r="B3" t="s">
        <v>5</v>
      </c>
      <c r="J3" t="s">
        <v>25</v>
      </c>
      <c r="O3" t="s">
        <v>126</v>
      </c>
    </row>
    <row r="4" spans="2:15" x14ac:dyDescent="0.3">
      <c r="B4" t="s">
        <v>30</v>
      </c>
      <c r="D4">
        <f ca="1">SUMPRODUCT(COUNTIF(INDIRECT("'"&amp;$O$3:$O$9&amp;"'!A1:Z100"),"떨어짐"))</f>
        <v>3</v>
      </c>
      <c r="J4" s="25">
        <v>1</v>
      </c>
      <c r="K4">
        <f ca="1">SUMPRODUCT(COUNTIF(INDIRECT("'"&amp;$O$3:$O$9&amp;"'!Q:Q"),"1"))</f>
        <v>0</v>
      </c>
      <c r="L4" s="105">
        <f ca="1">SUM(K4:K6)</f>
        <v>7</v>
      </c>
      <c r="O4" t="s">
        <v>127</v>
      </c>
    </row>
    <row r="5" spans="2:15" x14ac:dyDescent="0.3">
      <c r="B5" t="s">
        <v>31</v>
      </c>
      <c r="D5">
        <f ca="1">SUMPRODUCT(COUNTIF(INDIRECT("'"&amp;O3:O9&amp;"'!A1:Z100"),"넘어짐"))</f>
        <v>2</v>
      </c>
      <c r="J5" s="25">
        <v>2</v>
      </c>
      <c r="K5">
        <f ca="1">SUMPRODUCT(COUNTIF(INDIRECT("'"&amp;$O$3:$O$9&amp;"'!Q:Q"),"2"))</f>
        <v>7</v>
      </c>
      <c r="L5" s="105"/>
      <c r="O5" t="s">
        <v>128</v>
      </c>
    </row>
    <row r="6" spans="2:15" x14ac:dyDescent="0.3">
      <c r="B6" t="s">
        <v>33</v>
      </c>
      <c r="D6">
        <f ca="1">SUMPRODUCT(COUNTIF(INDIRECT("'"&amp;O3:O9&amp;"'!A1:Z100"),"깔림"))</f>
        <v>0</v>
      </c>
      <c r="J6" s="25">
        <v>3</v>
      </c>
      <c r="K6">
        <f ca="1">SUMPRODUCT(COUNTIF(INDIRECT("'"&amp;$O$3:$O$9&amp;"'!q:q"),"3"))</f>
        <v>0</v>
      </c>
      <c r="L6" s="105"/>
      <c r="O6" t="s">
        <v>97</v>
      </c>
    </row>
    <row r="7" spans="2:15" x14ac:dyDescent="0.3">
      <c r="B7" t="s">
        <v>32</v>
      </c>
      <c r="D7">
        <f ca="1">SUMPRODUCT(COUNTIF(INDIRECT("'"&amp;O3:O9&amp;"'!A1:Z100"),"부딪힘"))</f>
        <v>6</v>
      </c>
      <c r="J7" s="26">
        <v>4</v>
      </c>
      <c r="K7">
        <f ca="1">SUMPRODUCT(COUNTIF(INDIRECT("'"&amp;$O$3:$O$9&amp;"'!q:q"),"4"))</f>
        <v>6</v>
      </c>
      <c r="L7" s="105">
        <f ca="1">SUM(K7:K9)</f>
        <v>6</v>
      </c>
      <c r="O7" t="s">
        <v>101</v>
      </c>
    </row>
    <row r="8" spans="2:15" x14ac:dyDescent="0.3">
      <c r="B8" t="s">
        <v>34</v>
      </c>
      <c r="D8">
        <f ca="1">SUMPRODUCT(COUNTIF(INDIRECT("'"&amp;O3:O9&amp;"'!A1:Z100"),"맞음"))</f>
        <v>1</v>
      </c>
      <c r="J8" s="26">
        <v>5</v>
      </c>
      <c r="K8">
        <f ca="1">SUMPRODUCT(COUNTIF(INDIRECT("'"&amp;$O$3:$O$9&amp;"'!q:q"),"5"))</f>
        <v>0</v>
      </c>
      <c r="L8" s="105"/>
      <c r="O8" t="s">
        <v>106</v>
      </c>
    </row>
    <row r="9" spans="2:15" x14ac:dyDescent="0.3">
      <c r="B9" t="s">
        <v>35</v>
      </c>
      <c r="D9">
        <f ca="1">SUMPRODUCT(COUNTIF(INDIRECT("'"&amp;O3:O9&amp;"'!A1:Z100"),"무너짐"))</f>
        <v>0</v>
      </c>
      <c r="J9" s="26">
        <v>6</v>
      </c>
      <c r="K9">
        <f ca="1">SUMPRODUCT(COUNTIF(INDIRECT("'"&amp;$O$3:$O$9&amp;"'!q:q"),"6"))</f>
        <v>0</v>
      </c>
      <c r="L9" s="105"/>
      <c r="O9" t="s">
        <v>129</v>
      </c>
    </row>
    <row r="10" spans="2:15" x14ac:dyDescent="0.3">
      <c r="B10" t="s">
        <v>36</v>
      </c>
      <c r="D10">
        <f ca="1">SUMPRODUCT(COUNTIF(INDIRECT("'"&amp;O3:O9&amp;"'!A1:Z100"),"끼임"))</f>
        <v>0</v>
      </c>
      <c r="J10" s="27">
        <v>8</v>
      </c>
      <c r="K10">
        <f ca="1">SUMPRODUCT(COUNTIF(INDIRECT("'"&amp;$O$3:$O$9&amp;"'!q:q"),"8"))</f>
        <v>0</v>
      </c>
      <c r="L10" s="9">
        <f ca="1">SUM(K10)</f>
        <v>0</v>
      </c>
    </row>
    <row r="11" spans="2:15" x14ac:dyDescent="0.3">
      <c r="B11" t="s">
        <v>37</v>
      </c>
      <c r="D11">
        <f ca="1">SUMPRODUCT(COUNTIF(INDIRECT("'"&amp;O3:O9&amp;"'!A1:Z100"),"절단/베임/찔림"))</f>
        <v>0</v>
      </c>
      <c r="J11" s="28">
        <v>9</v>
      </c>
      <c r="K11">
        <f ca="1">SUMPRODUCT(COUNTIF(INDIRECT("'"&amp;$O$3:$O$9&amp;"'!q:q"),"9"))</f>
        <v>0</v>
      </c>
      <c r="L11" s="105">
        <f ca="1">SUM(K11:K13)</f>
        <v>0</v>
      </c>
    </row>
    <row r="12" spans="2:15" x14ac:dyDescent="0.3">
      <c r="B12" t="s">
        <v>38</v>
      </c>
      <c r="D12">
        <f ca="1">SUMPRODUCT(COUNTIF(INDIRECT("'"&amp;O3:O9&amp;"'!A1:Z100"),"감전"))</f>
        <v>0</v>
      </c>
      <c r="J12" s="28">
        <v>10</v>
      </c>
      <c r="K12">
        <f ca="1">SUMPRODUCT(COUNTIF(INDIRECT("'"&amp;$O$3:$O$9&amp;"'!q:q"),"10"))</f>
        <v>0</v>
      </c>
      <c r="L12" s="105"/>
    </row>
    <row r="13" spans="2:15" x14ac:dyDescent="0.3">
      <c r="B13" t="s">
        <v>39</v>
      </c>
      <c r="D13">
        <f ca="1">SUMPRODUCT(COUNTIF(INDIRECT("'"&amp;O3:O9&amp;"'!A1:Z100"),"폭발/화재"))</f>
        <v>0</v>
      </c>
      <c r="J13" s="28">
        <v>12</v>
      </c>
      <c r="K13">
        <f ca="1">SUMPRODUCT(COUNTIF(INDIRECT("'"&amp;$O$3:$O$9&amp;"'!q:q"),"12"))</f>
        <v>0</v>
      </c>
      <c r="L13" s="105"/>
    </row>
    <row r="14" spans="2:15" x14ac:dyDescent="0.3">
      <c r="B14" t="s">
        <v>40</v>
      </c>
      <c r="D14">
        <f ca="1">SUMPRODUCT(COUNTIF(INDIRECT("'"&amp;O3:O9&amp;"'!A1:Z100"),"무리한 신체동작"))</f>
        <v>0</v>
      </c>
      <c r="J14" s="29">
        <v>15</v>
      </c>
      <c r="K14">
        <f ca="1">SUMPRODUCT(COUNTIF(INDIRECT("'"&amp;$O$3:$O$9&amp;"'!q:q"),"15"))</f>
        <v>0</v>
      </c>
      <c r="L14" s="9">
        <f ca="1">SUM(K14)</f>
        <v>0</v>
      </c>
    </row>
    <row r="15" spans="2:15" x14ac:dyDescent="0.3">
      <c r="B15" t="s">
        <v>41</v>
      </c>
      <c r="D15">
        <f ca="1">SUMPRODUCT(COUNTIF(INDIRECT("'"&amp;O3:O9&amp;"'!A1:Z100"),"화학물질 누출/접촉"))</f>
        <v>0</v>
      </c>
      <c r="J15" s="30">
        <v>16</v>
      </c>
      <c r="K15">
        <f ca="1">SUMPRODUCT(COUNTIF(INDIRECT("'"&amp;$O$3:$O$9&amp;"'!q:q"),"16"))</f>
        <v>0</v>
      </c>
      <c r="L15" s="105">
        <f ca="1">SUM(K15:K16)</f>
        <v>0</v>
      </c>
    </row>
    <row r="16" spans="2:15" x14ac:dyDescent="0.3">
      <c r="B16" t="s">
        <v>42</v>
      </c>
      <c r="D16">
        <f ca="1">SUMPRODUCT(COUNTIF(INDIRECT("'"&amp;O3:O9&amp;"'!A1:Z100"),"산소결핍"))</f>
        <v>1</v>
      </c>
      <c r="J16" s="30">
        <v>20</v>
      </c>
      <c r="K16">
        <f ca="1">SUMPRODUCT(COUNTIF(INDIRECT("'"&amp;$O$3:$O$9&amp;"'!q:q"),"20"))</f>
        <v>0</v>
      </c>
      <c r="L16" s="105"/>
    </row>
    <row r="17" spans="2:12" x14ac:dyDescent="0.3">
      <c r="B17" t="s">
        <v>43</v>
      </c>
      <c r="D17">
        <f ca="1">SUMPRODUCT(COUNTIF(INDIRECT("'"&amp;O3:O9&amp;"'!A1:Z100"),"빠짐"))</f>
        <v>0</v>
      </c>
      <c r="J17" s="22"/>
      <c r="L17">
        <f ca="1">SUM(L4:L16)</f>
        <v>13</v>
      </c>
    </row>
    <row r="18" spans="2:12" x14ac:dyDescent="0.3">
      <c r="B18" t="s">
        <v>44</v>
      </c>
      <c r="D18">
        <f ca="1">SUMPRODUCT(COUNTIF(INDIRECT("'"&amp;O3:O9&amp;"'!A1:Z100"),"교통사고"))</f>
        <v>0</v>
      </c>
    </row>
    <row r="19" spans="2:12" x14ac:dyDescent="0.3">
      <c r="B19" t="s">
        <v>45</v>
      </c>
      <c r="D19">
        <f ca="1">SUMPRODUCT(COUNTIF(INDIRECT("'"&amp;O3:O9&amp;"'!A1:Z100"),"폭력행위"))</f>
        <v>0</v>
      </c>
    </row>
    <row r="20" spans="2:12" x14ac:dyDescent="0.3">
      <c r="B20" t="s">
        <v>47</v>
      </c>
      <c r="D20">
        <f ca="1">SUMPRODUCT(COUNTIF(INDIRECT("'"&amp;O3:O9&amp;"'!A1:Z100"),"기타"))</f>
        <v>0</v>
      </c>
    </row>
    <row r="21" spans="2:12" x14ac:dyDescent="0.3">
      <c r="D21">
        <f ca="1">SUM(D4:D20)</f>
        <v>13</v>
      </c>
    </row>
    <row r="23" spans="2:12" x14ac:dyDescent="0.3">
      <c r="J23" t="s">
        <v>124</v>
      </c>
      <c r="K23">
        <f ca="1">SUMPRODUCT(COUNTIF(INDIRECT("'"&amp;$O$3:$O$9&amp;"'!A1:Z100"),"23년 정기"))</f>
        <v>0</v>
      </c>
    </row>
    <row r="24" spans="2:12" ht="33" x14ac:dyDescent="0.3">
      <c r="J24" s="31" t="s">
        <v>125</v>
      </c>
      <c r="K24">
        <f ca="1">SUMPRODUCT(COUNTIF(INDIRECT("'"&amp;$O$3:$O$9&amp;"'!A1:Z100"),"24년 정기
(23년)"))</f>
        <v>0</v>
      </c>
    </row>
    <row r="25" spans="2:12" x14ac:dyDescent="0.3">
      <c r="J25" s="31" t="s">
        <v>132</v>
      </c>
      <c r="K25">
        <f ca="1">SUMPRODUCT(COUNTIF(INDIRECT("'"&amp;$O$3:$O$9&amp;"'!A1:Z100"),"24년 정기"))</f>
        <v>13</v>
      </c>
    </row>
  </sheetData>
  <mergeCells count="4">
    <mergeCell ref="L4:L6"/>
    <mergeCell ref="L7:L9"/>
    <mergeCell ref="L11:L13"/>
    <mergeCell ref="L15:L16"/>
  </mergeCells>
  <phoneticPr fontId="4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3:M22"/>
  <sheetViews>
    <sheetView workbookViewId="0">
      <selection activeCell="C10" sqref="C10"/>
    </sheetView>
  </sheetViews>
  <sheetFormatPr defaultRowHeight="16.5" x14ac:dyDescent="0.3"/>
  <cols>
    <col min="13" max="13" width="28.5" customWidth="1"/>
  </cols>
  <sheetData>
    <row r="3" spans="2:13" x14ac:dyDescent="0.3">
      <c r="B3" t="s">
        <v>29</v>
      </c>
    </row>
    <row r="5" spans="2:13" x14ac:dyDescent="0.3">
      <c r="B5" t="s">
        <v>5</v>
      </c>
      <c r="D5" t="s">
        <v>6</v>
      </c>
      <c r="E5" t="s">
        <v>7</v>
      </c>
      <c r="G5" t="s">
        <v>48</v>
      </c>
      <c r="J5" t="s">
        <v>60</v>
      </c>
      <c r="M5" t="s">
        <v>69</v>
      </c>
    </row>
    <row r="6" spans="2:13" x14ac:dyDescent="0.3">
      <c r="B6" t="s">
        <v>30</v>
      </c>
      <c r="D6">
        <v>1</v>
      </c>
      <c r="E6">
        <v>1</v>
      </c>
      <c r="G6" t="s">
        <v>72</v>
      </c>
      <c r="J6" t="s">
        <v>51</v>
      </c>
      <c r="M6" t="s">
        <v>74</v>
      </c>
    </row>
    <row r="7" spans="2:13" x14ac:dyDescent="0.3">
      <c r="B7" t="s">
        <v>31</v>
      </c>
      <c r="D7">
        <v>2</v>
      </c>
      <c r="E7">
        <v>2</v>
      </c>
      <c r="G7" t="s">
        <v>78</v>
      </c>
      <c r="J7" t="s">
        <v>52</v>
      </c>
      <c r="M7" t="s">
        <v>70</v>
      </c>
    </row>
    <row r="8" spans="2:13" x14ac:dyDescent="0.3">
      <c r="B8" t="s">
        <v>33</v>
      </c>
      <c r="D8">
        <v>3</v>
      </c>
      <c r="E8">
        <v>3</v>
      </c>
      <c r="G8" t="s">
        <v>49</v>
      </c>
      <c r="J8" t="s">
        <v>53</v>
      </c>
      <c r="M8" t="s">
        <v>75</v>
      </c>
    </row>
    <row r="9" spans="2:13" x14ac:dyDescent="0.3">
      <c r="B9" t="s">
        <v>32</v>
      </c>
      <c r="D9">
        <v>4</v>
      </c>
      <c r="E9">
        <v>4</v>
      </c>
      <c r="G9" t="s">
        <v>79</v>
      </c>
      <c r="J9" t="s">
        <v>54</v>
      </c>
      <c r="M9" t="s">
        <v>76</v>
      </c>
    </row>
    <row r="10" spans="2:13" x14ac:dyDescent="0.3">
      <c r="B10" t="s">
        <v>34</v>
      </c>
      <c r="E10">
        <v>5</v>
      </c>
      <c r="G10" t="s">
        <v>50</v>
      </c>
      <c r="J10" t="s">
        <v>55</v>
      </c>
      <c r="M10" t="s">
        <v>77</v>
      </c>
    </row>
    <row r="11" spans="2:13" x14ac:dyDescent="0.3">
      <c r="B11" t="s">
        <v>35</v>
      </c>
      <c r="G11" t="s">
        <v>64</v>
      </c>
      <c r="J11" t="s">
        <v>56</v>
      </c>
      <c r="M11" t="s">
        <v>71</v>
      </c>
    </row>
    <row r="12" spans="2:13" x14ac:dyDescent="0.3">
      <c r="B12" t="s">
        <v>36</v>
      </c>
      <c r="G12" t="s">
        <v>65</v>
      </c>
      <c r="J12" t="s">
        <v>57</v>
      </c>
    </row>
    <row r="13" spans="2:13" x14ac:dyDescent="0.3">
      <c r="B13" t="s">
        <v>37</v>
      </c>
      <c r="G13" t="s">
        <v>66</v>
      </c>
      <c r="J13" t="s">
        <v>58</v>
      </c>
    </row>
    <row r="14" spans="2:13" x14ac:dyDescent="0.3">
      <c r="B14" t="s">
        <v>38</v>
      </c>
      <c r="G14" t="s">
        <v>67</v>
      </c>
      <c r="J14" t="s">
        <v>59</v>
      </c>
    </row>
    <row r="15" spans="2:13" x14ac:dyDescent="0.3">
      <c r="B15" t="s">
        <v>39</v>
      </c>
      <c r="J15" t="s">
        <v>73</v>
      </c>
    </row>
    <row r="16" spans="2:13" x14ac:dyDescent="0.3">
      <c r="B16" t="s">
        <v>40</v>
      </c>
      <c r="J16" t="s">
        <v>68</v>
      </c>
    </row>
    <row r="17" spans="2:10" x14ac:dyDescent="0.3">
      <c r="B17" t="s">
        <v>41</v>
      </c>
      <c r="J17" t="s">
        <v>61</v>
      </c>
    </row>
    <row r="18" spans="2:10" x14ac:dyDescent="0.3">
      <c r="B18" t="s">
        <v>42</v>
      </c>
      <c r="J18" t="s">
        <v>62</v>
      </c>
    </row>
    <row r="19" spans="2:10" x14ac:dyDescent="0.3">
      <c r="B19" t="s">
        <v>43</v>
      </c>
      <c r="J19" t="s">
        <v>80</v>
      </c>
    </row>
    <row r="20" spans="2:10" x14ac:dyDescent="0.3">
      <c r="B20" t="s">
        <v>44</v>
      </c>
      <c r="J20" t="s">
        <v>63</v>
      </c>
    </row>
    <row r="21" spans="2:10" x14ac:dyDescent="0.3">
      <c r="B21" t="s">
        <v>45</v>
      </c>
    </row>
    <row r="22" spans="2:10" x14ac:dyDescent="0.3">
      <c r="B22" t="s">
        <v>47</v>
      </c>
    </row>
  </sheetData>
  <sheetProtection algorithmName="SHA-512" hashValue="dJE5uOYXeII/HahOF2oRmqGVcr+w8FLaknhYD8VxExcdQf0EO7kefUVeDDGrms8mJA/RbPIlJM/UFC1r66Hs9g==" saltValue="3wrYo123It9WT/Czn8E+PA==" spinCount="100000" sheet="1" objects="1" scenarios="1"/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9</vt:i4>
      </vt:variant>
      <vt:variant>
        <vt:lpstr>이름 지정된 범위</vt:lpstr>
      </vt:variant>
      <vt:variant>
        <vt:i4>14</vt:i4>
      </vt:variant>
    </vt:vector>
  </HeadingPairs>
  <TitlesOfParts>
    <vt:vector size="23" baseType="lpstr">
      <vt:lpstr>기계실, 보일러실</vt:lpstr>
      <vt:lpstr>집수정</vt:lpstr>
      <vt:lpstr>옥상점검</vt:lpstr>
      <vt:lpstr>주차장</vt:lpstr>
      <vt:lpstr>폐수처리장</vt:lpstr>
      <vt:lpstr>검수고, 주공장</vt:lpstr>
      <vt:lpstr>방재작업</vt:lpstr>
      <vt:lpstr>Sheet1</vt:lpstr>
      <vt:lpstr>데이터필드</vt:lpstr>
      <vt:lpstr>'검수고, 주공장'!Print_Area</vt:lpstr>
      <vt:lpstr>'기계실, 보일러실'!Print_Area</vt:lpstr>
      <vt:lpstr>방재작업!Print_Area</vt:lpstr>
      <vt:lpstr>옥상점검!Print_Area</vt:lpstr>
      <vt:lpstr>주차장!Print_Area</vt:lpstr>
      <vt:lpstr>집수정!Print_Area</vt:lpstr>
      <vt:lpstr>폐수처리장!Print_Area</vt:lpstr>
      <vt:lpstr>'검수고, 주공장'!Print_Titles</vt:lpstr>
      <vt:lpstr>'기계실, 보일러실'!Print_Titles</vt:lpstr>
      <vt:lpstr>방재작업!Print_Titles</vt:lpstr>
      <vt:lpstr>옥상점검!Print_Titles</vt:lpstr>
      <vt:lpstr>주차장!Print_Titles</vt:lpstr>
      <vt:lpstr>집수정!Print_Titles</vt:lpstr>
      <vt:lpstr>폐수처리장!Print_Titles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2025-06-02T06:22:57Z</cp:lastPrinted>
  <dcterms:created xsi:type="dcterms:W3CDTF">2022-03-31T06:25:03Z</dcterms:created>
  <dcterms:modified xsi:type="dcterms:W3CDTF">2026-04-21T01:15:21Z</dcterms:modified>
</cp:coreProperties>
</file>